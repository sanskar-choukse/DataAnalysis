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 firstSheet="8" activeTab="9"/>
  </bookViews>
  <sheets>
    <sheet name="Font&amp;Alignment" sheetId="1" r:id="rId1"/>
    <sheet name="Wrap Text" sheetId="2" r:id="rId2"/>
    <sheet name="Home tab number group part 1" sheetId="4" r:id="rId3"/>
    <sheet name="Home tab number group part 2" sheetId="5" r:id="rId4"/>
    <sheet name="Home tab style Conditional Form" sheetId="6" r:id="rId5"/>
    <sheet name="Home tab style cell styles " sheetId="7" r:id="rId6"/>
    <sheet name=" aggregate functions-1" sheetId="8" r:id="rId7"/>
    <sheet name="Data Convert into Readable Form" sheetId="9" r:id="rId8"/>
    <sheet name="Upper,lower,Sqrt,Powe,Mid fun-2" sheetId="10" r:id="rId9"/>
    <sheet name="Substi,Trim,left,righ,len,prope" sheetId="11" r:id="rId10"/>
    <sheet name="Concat,Countif,if,nested If" sheetId="12" r:id="rId11"/>
    <sheet name="Less,Greater&amp; Nested Func" sheetId="13" r:id="rId12"/>
    <sheet name="If Function " sheetId="14" r:id="rId13"/>
    <sheet name="IFs Fun" sheetId="17" r:id="rId14"/>
    <sheet name="Date,day,year,week,mon,days,Fun" sheetId="20" r:id="rId15"/>
    <sheet name="VLook UP Function" sheetId="16" r:id="rId16"/>
    <sheet name="XLook UP Function" sheetId="19" r:id="rId17"/>
  </sheets>
  <definedNames>
    <definedName name="_xlnm._FilterDatabase" localSheetId="0" hidden="1">'Font&amp;Alignment'!$A$2:$C$20003</definedName>
  </definedNames>
  <calcPr calcId="144525"/>
</workbook>
</file>

<file path=xl/calcChain.xml><?xml version="1.0" encoding="utf-8"?>
<calcChain xmlns="http://schemas.openxmlformats.org/spreadsheetml/2006/main">
  <c r="H2" i="13" l="1"/>
  <c r="H8" i="13"/>
  <c r="G2" i="13"/>
  <c r="H4" i="13"/>
  <c r="F2" i="13"/>
  <c r="J9" i="14"/>
  <c r="J8" i="14"/>
  <c r="K5" i="14"/>
  <c r="J5" i="14"/>
  <c r="J4" i="14"/>
  <c r="J3" i="14"/>
  <c r="D8" i="20"/>
  <c r="C8" i="20"/>
  <c r="D7" i="20"/>
  <c r="C2" i="20"/>
  <c r="D6" i="20"/>
  <c r="C6" i="20"/>
  <c r="D5" i="20"/>
  <c r="D2" i="20"/>
  <c r="C5" i="20"/>
  <c r="D4" i="20"/>
  <c r="C4" i="20"/>
  <c r="D3" i="20"/>
  <c r="C3" i="20"/>
  <c r="C1" i="20"/>
  <c r="C7" i="20" s="1"/>
  <c r="E4" i="16"/>
  <c r="E5" i="16"/>
  <c r="E6" i="16"/>
  <c r="E7" i="16"/>
  <c r="E3" i="16"/>
  <c r="H5" i="19"/>
  <c r="H6" i="19"/>
  <c r="J6" i="14"/>
  <c r="H4" i="19"/>
  <c r="H3" i="19"/>
  <c r="J7" i="14"/>
  <c r="H7" i="19"/>
  <c r="G3" i="19" l="1"/>
  <c r="G4" i="19"/>
  <c r="G5" i="19"/>
  <c r="G6" i="19"/>
  <c r="G7" i="19"/>
  <c r="F4" i="19"/>
  <c r="F5" i="19"/>
  <c r="F6" i="19"/>
  <c r="F7" i="19"/>
  <c r="F3" i="19"/>
  <c r="E4" i="19"/>
  <c r="E5" i="19"/>
  <c r="E6" i="19"/>
  <c r="E7" i="19"/>
  <c r="E3" i="19"/>
  <c r="H4" i="16"/>
  <c r="H5" i="16"/>
  <c r="H6" i="16"/>
  <c r="H7" i="16"/>
  <c r="H3" i="16"/>
  <c r="G4" i="16"/>
  <c r="G5" i="16"/>
  <c r="G6" i="16"/>
  <c r="G7" i="16"/>
  <c r="G3" i="16"/>
  <c r="F3" i="16"/>
  <c r="H3" i="13" l="1"/>
  <c r="H5" i="13"/>
  <c r="H6" i="13"/>
  <c r="H7" i="13"/>
  <c r="H9" i="13"/>
  <c r="H10" i="13"/>
  <c r="H11" i="13"/>
  <c r="L2" i="12"/>
  <c r="K2" i="12"/>
  <c r="I2" i="12"/>
  <c r="J2" i="12"/>
  <c r="L6" i="12"/>
  <c r="L10" i="12"/>
  <c r="L3" i="12"/>
  <c r="L4" i="12"/>
  <c r="L5" i="12"/>
  <c r="L7" i="12"/>
  <c r="L8" i="12"/>
  <c r="L9" i="12"/>
  <c r="L11" i="12"/>
  <c r="K3" i="12"/>
  <c r="K4" i="12"/>
  <c r="K5" i="12"/>
  <c r="K6" i="12"/>
  <c r="K7" i="12"/>
  <c r="K8" i="12"/>
  <c r="K9" i="12"/>
  <c r="K10" i="12"/>
  <c r="K11" i="12"/>
  <c r="H3" i="12"/>
  <c r="H4" i="12"/>
  <c r="H5" i="12"/>
  <c r="H6" i="12"/>
  <c r="H7" i="12"/>
  <c r="H8" i="12"/>
  <c r="H9" i="12"/>
  <c r="H10" i="12"/>
  <c r="H11" i="12"/>
  <c r="H2" i="12"/>
  <c r="G3" i="12"/>
  <c r="G4" i="12"/>
  <c r="G5" i="12"/>
  <c r="G6" i="12"/>
  <c r="G7" i="12"/>
  <c r="G8" i="12"/>
  <c r="G9" i="12"/>
  <c r="G10" i="12"/>
  <c r="G11" i="12"/>
  <c r="G2" i="12"/>
  <c r="F3" i="12"/>
  <c r="F4" i="12"/>
  <c r="F5" i="12"/>
  <c r="F6" i="12"/>
  <c r="F7" i="12"/>
  <c r="F8" i="12"/>
  <c r="F9" i="12"/>
  <c r="F10" i="12"/>
  <c r="F11" i="12"/>
  <c r="F2" i="12"/>
  <c r="Q3" i="11"/>
  <c r="Q4" i="11"/>
  <c r="Q5" i="11"/>
  <c r="Q6" i="11"/>
  <c r="Q7" i="11"/>
  <c r="Q2" i="11"/>
  <c r="P3" i="11"/>
  <c r="P4" i="11"/>
  <c r="P5" i="11"/>
  <c r="P6" i="11"/>
  <c r="P7" i="11"/>
  <c r="P2" i="11"/>
  <c r="O3" i="11"/>
  <c r="O4" i="11"/>
  <c r="O5" i="11"/>
  <c r="O6" i="11"/>
  <c r="O7" i="11"/>
  <c r="O2" i="11"/>
  <c r="N3" i="11"/>
  <c r="N4" i="11"/>
  <c r="N5" i="11"/>
  <c r="N6" i="11"/>
  <c r="N7" i="11"/>
  <c r="N2" i="11"/>
  <c r="M3" i="11"/>
  <c r="M4" i="11"/>
  <c r="M5" i="11"/>
  <c r="M6" i="11"/>
  <c r="M7" i="11"/>
  <c r="M2" i="11"/>
  <c r="K3" i="11"/>
  <c r="K4" i="11"/>
  <c r="K5" i="11"/>
  <c r="K6" i="11"/>
  <c r="K7" i="11"/>
  <c r="K2" i="11"/>
  <c r="L3" i="11"/>
  <c r="L4" i="11"/>
  <c r="L5" i="11"/>
  <c r="L6" i="11"/>
  <c r="L7" i="11"/>
  <c r="J3" i="11"/>
  <c r="J4" i="11"/>
  <c r="J5" i="11"/>
  <c r="J6" i="11"/>
  <c r="J7" i="11"/>
  <c r="L2" i="11"/>
  <c r="J2" i="11"/>
  <c r="J2" i="10"/>
  <c r="F2" i="11"/>
  <c r="H2" i="11"/>
  <c r="I2" i="11" s="1"/>
  <c r="H3" i="11"/>
  <c r="I3" i="11" s="1"/>
  <c r="H4" i="11"/>
  <c r="I4" i="11" s="1"/>
  <c r="H5" i="11"/>
  <c r="I5" i="11" s="1"/>
  <c r="H6" i="11"/>
  <c r="I6" i="11" s="1"/>
  <c r="H7" i="11"/>
  <c r="I7" i="11" s="1"/>
  <c r="H8" i="11"/>
  <c r="F3" i="11"/>
  <c r="G2" i="11"/>
  <c r="G3" i="11"/>
  <c r="G4" i="11"/>
  <c r="G5" i="11"/>
  <c r="G6" i="11"/>
  <c r="G7" i="11"/>
  <c r="F4" i="11"/>
  <c r="F5" i="11"/>
  <c r="F6" i="11"/>
  <c r="F7" i="11"/>
  <c r="L4" i="10"/>
  <c r="L5" i="10"/>
  <c r="L6" i="10"/>
  <c r="L7" i="10"/>
  <c r="L8" i="10"/>
  <c r="L9" i="10"/>
  <c r="L10" i="10"/>
  <c r="L11" i="10"/>
  <c r="L3" i="10"/>
  <c r="L2" i="10"/>
  <c r="K2" i="10"/>
  <c r="K3" i="10"/>
  <c r="K4" i="10"/>
  <c r="K5" i="10"/>
  <c r="K6" i="10"/>
  <c r="K7" i="10"/>
  <c r="K8" i="10"/>
  <c r="K9" i="10"/>
  <c r="K10" i="10"/>
  <c r="K11" i="10"/>
  <c r="J3" i="10"/>
  <c r="J4" i="10"/>
  <c r="J5" i="10"/>
  <c r="J6" i="10"/>
  <c r="J7" i="10"/>
  <c r="J8" i="10"/>
  <c r="J9" i="10"/>
  <c r="J10" i="10"/>
  <c r="J11" i="10"/>
  <c r="J12" i="10"/>
  <c r="I2" i="10"/>
  <c r="I3" i="10"/>
  <c r="I4" i="10"/>
  <c r="I5" i="10"/>
  <c r="I6" i="10"/>
  <c r="I7" i="10"/>
  <c r="I8" i="10"/>
  <c r="I9" i="10"/>
  <c r="I10" i="10"/>
  <c r="I11" i="10"/>
  <c r="H3" i="10"/>
  <c r="H4" i="10"/>
  <c r="H5" i="10"/>
  <c r="H6" i="10"/>
  <c r="H7" i="10"/>
  <c r="H8" i="10"/>
  <c r="H9" i="10"/>
  <c r="H10" i="10"/>
  <c r="H11" i="10"/>
  <c r="H2" i="10"/>
  <c r="G3" i="10"/>
  <c r="G4" i="10"/>
  <c r="G5" i="10"/>
  <c r="G6" i="10"/>
  <c r="G7" i="10"/>
  <c r="G8" i="10"/>
  <c r="G9" i="10"/>
  <c r="G10" i="10"/>
  <c r="G11" i="10"/>
  <c r="G2" i="10"/>
  <c r="F3" i="10"/>
  <c r="F4" i="10"/>
  <c r="F5" i="10"/>
  <c r="F6" i="10"/>
  <c r="F7" i="10"/>
  <c r="F8" i="10"/>
  <c r="F9" i="10"/>
  <c r="F10" i="10"/>
  <c r="F11" i="10"/>
  <c r="F2" i="10"/>
  <c r="O4" i="8"/>
  <c r="O3" i="8"/>
  <c r="O2" i="8"/>
  <c r="D7" i="8"/>
  <c r="O1" i="8"/>
  <c r="J7" i="8"/>
  <c r="H7" i="8"/>
  <c r="F7" i="8"/>
  <c r="B7" i="8"/>
</calcChain>
</file>

<file path=xl/sharedStrings.xml><?xml version="1.0" encoding="utf-8"?>
<sst xmlns="http://schemas.openxmlformats.org/spreadsheetml/2006/main" count="507" uniqueCount="179">
  <si>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</si>
  <si>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</si>
  <si>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</si>
  <si>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</si>
  <si>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</si>
  <si>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</si>
  <si>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</si>
  <si>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</si>
  <si>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</si>
  <si>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</si>
  <si>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</si>
  <si>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TEST</t>
  </si>
  <si>
    <t>we are descusing about Excel</t>
  </si>
  <si>
    <t>Account</t>
  </si>
  <si>
    <t>Percentage</t>
  </si>
  <si>
    <t>Time</t>
  </si>
  <si>
    <t>Text</t>
  </si>
  <si>
    <t>wrwr</t>
  </si>
  <si>
    <t>erty</t>
  </si>
  <si>
    <t>gf</t>
  </si>
  <si>
    <t>ghgdz</t>
  </si>
  <si>
    <t>Fraction</t>
  </si>
  <si>
    <t>Number</t>
  </si>
  <si>
    <t>123456786754534</t>
  </si>
  <si>
    <t>12345654322345</t>
  </si>
  <si>
    <t>date</t>
  </si>
  <si>
    <t>Date</t>
  </si>
  <si>
    <t>31-09-25</t>
  </si>
  <si>
    <t>Marks</t>
  </si>
  <si>
    <t>Student</t>
  </si>
  <si>
    <t>prem</t>
  </si>
  <si>
    <t>Mayank</t>
  </si>
  <si>
    <t>madhav</t>
  </si>
  <si>
    <t>akshat</t>
  </si>
  <si>
    <t xml:space="preserve">shyam </t>
  </si>
  <si>
    <t>vijay</t>
  </si>
  <si>
    <t>harsh</t>
  </si>
  <si>
    <t>Duplicate</t>
  </si>
  <si>
    <t xml:space="preserve">27-09-2025 neural  </t>
  </si>
  <si>
    <t>26-09-2025 Good</t>
  </si>
  <si>
    <t>Warning</t>
  </si>
  <si>
    <t>AVG</t>
  </si>
  <si>
    <t>count</t>
  </si>
  <si>
    <t>Max</t>
  </si>
  <si>
    <t>Min</t>
  </si>
  <si>
    <t>result</t>
  </si>
  <si>
    <t>Employee ID</t>
  </si>
  <si>
    <t>Name</t>
  </si>
  <si>
    <t>Department</t>
  </si>
  <si>
    <t>Salary</t>
  </si>
  <si>
    <t>Years of Experience</t>
  </si>
  <si>
    <t>Alice</t>
  </si>
  <si>
    <t>Bob</t>
  </si>
  <si>
    <t>charli</t>
  </si>
  <si>
    <t>Milna</t>
  </si>
  <si>
    <t>Carry</t>
  </si>
  <si>
    <t>Jokey</t>
  </si>
  <si>
    <t>Rockey</t>
  </si>
  <si>
    <t>Ivan</t>
  </si>
  <si>
    <t>Jack</t>
  </si>
  <si>
    <t>Grace</t>
  </si>
  <si>
    <t>HR</t>
  </si>
  <si>
    <t>IT</t>
  </si>
  <si>
    <t>Finance</t>
  </si>
  <si>
    <r>
      <rPr>
        <sz val="14"/>
        <color theme="1"/>
        <rFont val="Calibri"/>
        <family val="2"/>
        <scheme val="minor"/>
      </rPr>
      <t>Data convert into</t>
    </r>
    <r>
      <rPr>
        <sz val="14"/>
        <color rgb="FFFF0000"/>
        <rFont val="Calibri"/>
        <family val="2"/>
        <scheme val="minor"/>
      </rPr>
      <t xml:space="preserve"> Readable Format</t>
    </r>
    <r>
      <rPr>
        <sz val="14"/>
        <color theme="1"/>
        <rFont val="Calibri"/>
        <family val="2"/>
        <scheme val="minor"/>
      </rPr>
      <t xml:space="preserve"> For data Clearly understand  (Using  Query Alt+HOI,Alt+HOA)</t>
    </r>
  </si>
  <si>
    <r>
      <t>Data convert into Proper</t>
    </r>
    <r>
      <rPr>
        <sz val="14"/>
        <color rgb="FFFF0000"/>
        <rFont val="Calibri"/>
        <family val="2"/>
        <scheme val="minor"/>
      </rPr>
      <t xml:space="preserve"> Table format  </t>
    </r>
    <r>
      <rPr>
        <sz val="14"/>
        <color theme="1"/>
        <rFont val="Calibri"/>
        <family val="2"/>
        <scheme val="minor"/>
      </rPr>
      <t>(Using Query Alt+HBA,Alt+HBT)</t>
    </r>
  </si>
  <si>
    <t>Upper Case</t>
  </si>
  <si>
    <t>LowerCase</t>
  </si>
  <si>
    <t>SQRT Fun</t>
  </si>
  <si>
    <t>Power Fun</t>
  </si>
  <si>
    <t>Mid Function</t>
  </si>
  <si>
    <t>Mid Function Value</t>
  </si>
  <si>
    <t>Last Name</t>
  </si>
  <si>
    <t>Smith</t>
  </si>
  <si>
    <t>Joshan</t>
  </si>
  <si>
    <t>mika</t>
  </si>
  <si>
    <t>siliv</t>
  </si>
  <si>
    <t>white</t>
  </si>
  <si>
    <t>kalal</t>
  </si>
  <si>
    <t>PhoneNumber</t>
  </si>
  <si>
    <t>123-456-7891</t>
  </si>
  <si>
    <t>123-956-9992</t>
  </si>
  <si>
    <t>99-456-7893</t>
  </si>
  <si>
    <t>243-456-7894</t>
  </si>
  <si>
    <t>123-006-7835</t>
  </si>
  <si>
    <t>120-406-7097</t>
  </si>
  <si>
    <t>Substitute</t>
  </si>
  <si>
    <t>Trim</t>
  </si>
  <si>
    <t>Substitute 1</t>
  </si>
  <si>
    <t>H R</t>
  </si>
  <si>
    <t>I T</t>
  </si>
  <si>
    <r>
      <t>Subtitude: use for</t>
    </r>
    <r>
      <rPr>
        <sz val="11"/>
        <color rgb="FFFF0000"/>
        <rFont val="Calibri"/>
        <family val="2"/>
        <scheme val="minor"/>
      </rPr>
      <t xml:space="preserve"> replace</t>
    </r>
    <r>
      <rPr>
        <sz val="11"/>
        <color theme="1"/>
        <rFont val="Calibri"/>
        <family val="2"/>
        <scheme val="minor"/>
      </rPr>
      <t xml:space="preserve"> value</t>
    </r>
  </si>
  <si>
    <t>Test Substitute(Remove Space in a value)</t>
  </si>
  <si>
    <r>
      <t>Trim:Use for</t>
    </r>
    <r>
      <rPr>
        <sz val="11"/>
        <color rgb="FFFF0000"/>
        <rFont val="Calibri"/>
        <family val="2"/>
        <scheme val="minor"/>
      </rPr>
      <t xml:space="preserve"> copy</t>
    </r>
    <r>
      <rPr>
        <sz val="11"/>
        <color theme="1"/>
        <rFont val="Calibri"/>
        <family val="2"/>
        <scheme val="minor"/>
      </rPr>
      <t xml:space="preserve"> value</t>
    </r>
  </si>
  <si>
    <t>Left</t>
  </si>
  <si>
    <t>Right</t>
  </si>
  <si>
    <t>Left Trim</t>
  </si>
  <si>
    <t>Right Trim</t>
  </si>
  <si>
    <t>Len</t>
  </si>
  <si>
    <t>Len 1</t>
  </si>
  <si>
    <t>Lower Trim</t>
  </si>
  <si>
    <t>Proper</t>
  </si>
  <si>
    <t>Left:value start from left</t>
  </si>
  <si>
    <t>Right:Value start From Right</t>
  </si>
  <si>
    <t>len:Count len of chart</t>
  </si>
  <si>
    <r>
      <t xml:space="preserve">Proper:Arrange words that </t>
    </r>
    <r>
      <rPr>
        <sz val="11"/>
        <color rgb="FFFF0000"/>
        <rFont val="Calibri"/>
        <family val="2"/>
        <scheme val="minor"/>
      </rPr>
      <t>1 letter Capital &amp; other small</t>
    </r>
  </si>
  <si>
    <t>Sales</t>
  </si>
  <si>
    <t>Target Achieved</t>
  </si>
  <si>
    <t>Ravi</t>
  </si>
  <si>
    <t>Minati</t>
  </si>
  <si>
    <t>Miya</t>
  </si>
  <si>
    <t>sanskar</t>
  </si>
  <si>
    <t>Yes</t>
  </si>
  <si>
    <t>No</t>
  </si>
  <si>
    <t>Concat</t>
  </si>
  <si>
    <t>Concat New</t>
  </si>
  <si>
    <t>Concat 2</t>
  </si>
  <si>
    <t>Countif</t>
  </si>
  <si>
    <t>CountIf No</t>
  </si>
  <si>
    <t>if</t>
  </si>
  <si>
    <t>CountIf</t>
  </si>
  <si>
    <t xml:space="preserve">if </t>
  </si>
  <si>
    <t>Nested If</t>
  </si>
  <si>
    <t>Nestedd If</t>
  </si>
  <si>
    <t>count Less Than 200</t>
  </si>
  <si>
    <t>Product</t>
  </si>
  <si>
    <t>Widget A</t>
  </si>
  <si>
    <t>Widget B</t>
  </si>
  <si>
    <t>Widget C</t>
  </si>
  <si>
    <t>Units Sold</t>
  </si>
  <si>
    <t>Revenue</t>
  </si>
  <si>
    <t>Age</t>
  </si>
  <si>
    <t>Grade</t>
  </si>
  <si>
    <t>Vlookup</t>
  </si>
  <si>
    <t>Charlie</t>
  </si>
  <si>
    <t>David</t>
  </si>
  <si>
    <t>Eva</t>
  </si>
  <si>
    <t>Course</t>
  </si>
  <si>
    <t>Student ID</t>
  </si>
  <si>
    <t>S001</t>
  </si>
  <si>
    <t>S002</t>
  </si>
  <si>
    <t>Cybersecurity Essentials: Protecting Digital Assets</t>
  </si>
  <si>
    <t>S003</t>
  </si>
  <si>
    <t>Advanced Excel and Data Analysis</t>
  </si>
  <si>
    <t>S004</t>
  </si>
  <si>
    <t>S005</t>
  </si>
  <si>
    <t>Data 1</t>
  </si>
  <si>
    <t>Data 2</t>
  </si>
  <si>
    <t>Salesperson</t>
  </si>
  <si>
    <t>Sumifs</t>
  </si>
  <si>
    <t>Carol</t>
  </si>
  <si>
    <t>Averageifs</t>
  </si>
  <si>
    <t>Countifs</t>
  </si>
  <si>
    <t>Minifs</t>
  </si>
  <si>
    <t>Maxifs</t>
  </si>
  <si>
    <t>Introduction to Data Science And Machine Learning</t>
  </si>
  <si>
    <t>Full-Stack Web development bootcamp</t>
  </si>
  <si>
    <t>Cloud Computing With AWS and Azure</t>
  </si>
  <si>
    <t>VlookUP</t>
  </si>
  <si>
    <t>VlookUp</t>
  </si>
  <si>
    <t>Stu_IDFROMDATA2</t>
  </si>
  <si>
    <t>Test</t>
  </si>
  <si>
    <t>Xlookup</t>
  </si>
  <si>
    <r>
      <rPr>
        <sz val="11"/>
        <color rgb="FFFF0000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:Here Xlookup is </t>
    </r>
    <r>
      <rPr>
        <sz val="11"/>
        <color rgb="FFFF0000"/>
        <rFont val="Calibri"/>
        <family val="2"/>
        <scheme val="minor"/>
      </rPr>
      <t>not working</t>
    </r>
  </si>
  <si>
    <t>Xlookup is not working but result of Xlookup</t>
  </si>
  <si>
    <r>
      <rPr>
        <b/>
        <sz val="11"/>
        <color theme="1"/>
        <rFont val="Calibri"/>
        <family val="2"/>
        <scheme val="minor"/>
      </rPr>
      <t>DATE()</t>
    </r>
    <r>
      <rPr>
        <sz val="11"/>
        <color theme="1"/>
        <rFont val="Calibri"/>
        <family val="2"/>
        <scheme val="minor"/>
      </rPr>
      <t>:Creates a date from years ,month,and day values.</t>
    </r>
  </si>
  <si>
    <r>
      <rPr>
        <b/>
        <sz val="11"/>
        <color theme="1"/>
        <rFont val="Calibri"/>
        <family val="2"/>
        <scheme val="minor"/>
      </rPr>
      <t>Month()</t>
    </r>
    <r>
      <rPr>
        <sz val="11"/>
        <color theme="1"/>
        <rFont val="Calibri"/>
        <family val="2"/>
        <scheme val="minor"/>
      </rPr>
      <t xml:space="preserve">:Returns the month from a date </t>
    </r>
  </si>
  <si>
    <r>
      <rPr>
        <b/>
        <sz val="11"/>
        <color theme="1"/>
        <rFont val="Calibri"/>
        <family val="2"/>
        <scheme val="minor"/>
      </rPr>
      <t>Weekday()</t>
    </r>
    <r>
      <rPr>
        <sz val="11"/>
        <color theme="1"/>
        <rFont val="Calibri"/>
        <family val="2"/>
        <scheme val="minor"/>
      </rPr>
      <t>:Return  the day of the week  as  a number</t>
    </r>
  </si>
  <si>
    <r>
      <t>Now():</t>
    </r>
    <r>
      <rPr>
        <sz val="11"/>
        <color theme="1"/>
        <rFont val="Calibri"/>
        <family val="2"/>
        <scheme val="minor"/>
      </rPr>
      <t xml:space="preserve">Return the current date and  time </t>
    </r>
  </si>
  <si>
    <r>
      <t>Days()</t>
    </r>
    <r>
      <rPr>
        <sz val="11"/>
        <color theme="1"/>
        <rFont val="Calibri"/>
        <family val="2"/>
        <scheme val="minor"/>
      </rPr>
      <t>:Return the number of days between 2 dates</t>
    </r>
  </si>
  <si>
    <r>
      <t>Year():</t>
    </r>
    <r>
      <rPr>
        <sz val="11"/>
        <color theme="1"/>
        <rFont val="Calibri"/>
        <family val="2"/>
        <scheme val="minor"/>
      </rPr>
      <t xml:space="preserve">Return year from a date </t>
    </r>
  </si>
  <si>
    <r>
      <t>DAY():</t>
    </r>
    <r>
      <rPr>
        <sz val="11"/>
        <color theme="1"/>
        <rFont val="Calibri"/>
        <family val="2"/>
        <scheme val="minor"/>
      </rPr>
      <t xml:space="preserve">Return the day of the month From the date </t>
    </r>
  </si>
  <si>
    <r>
      <t>TODAY()</t>
    </r>
    <r>
      <rPr>
        <sz val="11"/>
        <color theme="1"/>
        <rFont val="Calibri"/>
        <family val="2"/>
        <scheme val="minor"/>
      </rPr>
      <t>:Return the current date.</t>
    </r>
  </si>
  <si>
    <t>weekday=sun=1,mon=2,tues=3 …….satur=7</t>
  </si>
  <si>
    <t>SUMIF</t>
  </si>
  <si>
    <t>AverageIF</t>
  </si>
  <si>
    <t>countIf</t>
  </si>
  <si>
    <t>MaxIFs</t>
  </si>
  <si>
    <t>CountGreater than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</si>
</sst>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64" formatCode="_ * #,##0_ ;_ * \-#,##0_ ;_ * &quot;-&quot;??_ ;_ @_ "/>
    <numFmt numFmtId="165" formatCode="_-[$$-409]* #,##0.00_ ;_-[$$-409]* \-#,##0.00\ ;_-[$$-409]* &quot;-&quot;??_ ;_-@_ "/>
    <numFmt numFmtId="166" formatCode="_ [$₹-4009]\ * #,##0.00_ ;_ [$₹-4009]\ * \-#,##0.00_ ;_ [$₹-4009]\ * &quot;-&quot;??_ ;_ @_ "/>
    <numFmt numFmtId="167" formatCode="[$-F400]h:mm:ss\ AM/PM"/>
    <numFmt numFmtId="168" formatCode="[$-14009]hh:mm:ss;@"/>
    <numFmt numFmtId="169" formatCode="[$-14009]dd/mm/yy;@"/>
    <numFmt numFmtId="170" formatCode="[$-14009]d\.m\.yy;@"/>
    <numFmt numFmtId="171" formatCode="[$-14009]d/m/yy;@"/>
    <numFmt numFmtId="172" formatCode="&quot;$&quot;#,##0_);[Red]\(&quot;$&quot;#,##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u/>
      <sz val="12"/>
      <color theme="4" tint="-0.249977111117893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theme="4"/>
      </bottom>
      <diagonal/>
    </border>
    <border>
      <left/>
      <right style="dotted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0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4" fontId="0" fillId="0" borderId="1" xfId="0" applyNumberFormat="1" applyBorder="1"/>
    <xf numFmtId="0" fontId="3" fillId="2" borderId="1" xfId="0" applyFont="1" applyFill="1" applyBorder="1"/>
    <xf numFmtId="14" fontId="2" fillId="0" borderId="1" xfId="0" applyNumberFormat="1" applyFont="1" applyBorder="1"/>
    <xf numFmtId="0" fontId="0" fillId="0" borderId="1" xfId="0" applyBorder="1" applyAlignment="1">
      <alignment horizontal="left" vertical="center" indent="5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1" applyNumberFormat="1" applyFont="1" applyBorder="1"/>
    <xf numFmtId="165" fontId="0" fillId="0" borderId="0" xfId="1" applyNumberFormat="1" applyFont="1" applyBorder="1"/>
    <xf numFmtId="166" fontId="0" fillId="0" borderId="0" xfId="0" applyNumberFormat="1" applyBorder="1"/>
    <xf numFmtId="9" fontId="0" fillId="0" borderId="0" xfId="2" applyFont="1"/>
    <xf numFmtId="165" fontId="0" fillId="0" borderId="0" xfId="1" applyNumberFormat="1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67" fontId="0" fillId="0" borderId="0" xfId="2" applyNumberFormat="1" applyFont="1"/>
    <xf numFmtId="168" fontId="0" fillId="0" borderId="0" xfId="0" applyNumberFormat="1"/>
    <xf numFmtId="49" fontId="0" fillId="0" borderId="0" xfId="0" applyNumberFormat="1"/>
    <xf numFmtId="1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0" borderId="0" xfId="0" applyAlignment="1"/>
    <xf numFmtId="167" fontId="0" fillId="0" borderId="0" xfId="2" applyNumberFormat="1" applyFont="1" applyAlignment="1"/>
    <xf numFmtId="168" fontId="0" fillId="0" borderId="0" xfId="0" applyNumberFormat="1" applyAlignment="1"/>
    <xf numFmtId="49" fontId="0" fillId="0" borderId="0" xfId="0" applyNumberFormat="1" applyAlignment="1"/>
    <xf numFmtId="171" fontId="0" fillId="0" borderId="0" xfId="0" applyNumberFormat="1" applyAlignment="1">
      <alignment wrapText="1"/>
    </xf>
    <xf numFmtId="171" fontId="0" fillId="0" borderId="0" xfId="0" applyNumberFormat="1" applyAlignment="1">
      <alignment horizontal="right"/>
    </xf>
    <xf numFmtId="171" fontId="0" fillId="0" borderId="0" xfId="0" applyNumberFormat="1" applyAlignment="1">
      <alignment horizontal="center"/>
    </xf>
    <xf numFmtId="11" fontId="0" fillId="0" borderId="0" xfId="0" applyNumberFormat="1"/>
    <xf numFmtId="16" fontId="8" fillId="5" borderId="0" xfId="4" applyNumberFormat="1"/>
    <xf numFmtId="16" fontId="7" fillId="4" borderId="0" xfId="3" applyNumberFormat="1"/>
    <xf numFmtId="0" fontId="10" fillId="0" borderId="0" xfId="5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0" fillId="0" borderId="5" xfId="0" applyBorder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8" xfId="0" applyBorder="1"/>
    <xf numFmtId="0" fontId="0" fillId="0" borderId="0" xfId="0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" fontId="0" fillId="0" borderId="0" xfId="0" applyNumberFormat="1"/>
    <xf numFmtId="0" fontId="11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2" fillId="0" borderId="15" xfId="0" applyFont="1" applyBorder="1"/>
    <xf numFmtId="0" fontId="11" fillId="0" borderId="0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2" fontId="0" fillId="0" borderId="0" xfId="0" applyNumberFormat="1" applyAlignment="1">
      <alignment vertical="center" wrapText="1"/>
    </xf>
    <xf numFmtId="0" fontId="0" fillId="0" borderId="0" xfId="0"/>
    <xf numFmtId="0" fontId="1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2" fontId="0" fillId="0" borderId="0" xfId="0" applyNumberFormat="1" applyAlignment="1">
      <alignment vertical="center" wrapText="1"/>
    </xf>
    <xf numFmtId="0" fontId="0" fillId="6" borderId="0" xfId="0" applyFill="1" applyAlignment="1">
      <alignment vertical="center" wrapText="1"/>
    </xf>
    <xf numFmtId="14" fontId="0" fillId="6" borderId="0" xfId="0" applyNumberFormat="1" applyFill="1" applyAlignment="1">
      <alignment vertical="center" wrapText="1"/>
    </xf>
    <xf numFmtId="172" fontId="0" fillId="6" borderId="0" xfId="0" applyNumberFormat="1" applyFill="1" applyAlignment="1">
      <alignment vertical="center" wrapText="1"/>
    </xf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2" fontId="0" fillId="0" borderId="0" xfId="0" applyNumberFormat="1" applyAlignment="1">
      <alignment vertical="center" wrapText="1"/>
    </xf>
    <xf numFmtId="0" fontId="11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172" fontId="0" fillId="0" borderId="0" xfId="0" applyNumberFormat="1" applyFill="1" applyAlignment="1">
      <alignment vertical="center" wrapText="1"/>
    </xf>
    <xf numFmtId="14" fontId="0" fillId="0" borderId="5" xfId="0" applyNumberFormat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11" fillId="0" borderId="5" xfId="0" applyNumberFormat="1" applyFont="1" applyFill="1" applyBorder="1" applyAlignment="1">
      <alignment vertical="center" wrapText="1"/>
    </xf>
    <xf numFmtId="0" fontId="11" fillId="0" borderId="5" xfId="0" applyFont="1" applyFill="1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11" fillId="7" borderId="0" xfId="0" applyFont="1" applyFill="1" applyAlignment="1">
      <alignment horizontal="center" vertical="center" wrapText="1"/>
    </xf>
    <xf numFmtId="14" fontId="11" fillId="7" borderId="0" xfId="0" applyNumberFormat="1" applyFont="1" applyFill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4" fontId="11" fillId="0" borderId="0" xfId="0" applyNumberFormat="1" applyFont="1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1" fillId="0" borderId="16" xfId="0" applyFont="1" applyFill="1" applyBorder="1" applyAlignment="1">
      <alignment vertical="center" wrapText="1"/>
    </xf>
    <xf numFmtId="0" fontId="11" fillId="0" borderId="0" xfId="0" applyFont="1"/>
    <xf numFmtId="22" fontId="0" fillId="0" borderId="0" xfId="0" applyNumberFormat="1"/>
    <xf numFmtId="172" fontId="0" fillId="0" borderId="0" xfId="0" applyNumberFormat="1"/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/>
    <xf numFmtId="0" fontId="0" fillId="0" borderId="0" xfId="0"/>
  </cellXfs>
  <cellStyles count="6">
    <cellStyle name="Comma" xfId="1" builtinId="3"/>
    <cellStyle name="Good" xfId="3" builtinId="26"/>
    <cellStyle name="Neutral" xfId="4" builtinId="28"/>
    <cellStyle name="Normal" xfId="0" builtinId="0"/>
    <cellStyle name="Percent" xfId="2" builtinId="5"/>
    <cellStyle name="Warning Text" xfId="5" builtinId="1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381000</xdr:colOff>
      <xdr:row>15</xdr:row>
      <xdr:rowOff>104775</xdr:rowOff>
    </xdr:from>
    <xdr:ext cx="914400" cy="264560"/>
    <xdr:sp macro="" textlink="">
      <xdr:nvSpPr>
        <xdr:cNvPr id="2" name="TextBox 1"/>
        <xdr:cNvSpPr txBox="1"/>
      </xdr:nvSpPr>
      <xdr:spPr>
        <a:xfrm>
          <a:off x="5953125" y="31908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3"/>
  <sheetViews>
    <sheetView zoomScale="115" zoomScaleNormal="115" workbookViewId="0">
      <selection activeCell="I9" sqref="I9"/>
    </sheetView>
  </sheetViews>
  <sheetFormatPr defaultRowHeight="15" x14ac:dyDescent="0.25"/>
  <cols>
    <col min="1" max="1" width="31.7109375" customWidth="1"/>
    <col min="2" max="2" width="28.28515625" customWidth="1"/>
    <col min="3" max="3" width="24.85546875" customWidth="1"/>
  </cols>
  <sheetData>
    <row r="1" spans="1:7" ht="43.5" customHeight="1" thickBot="1" x14ac:dyDescent="0.3">
      <c r="A1" s="97" t="s">
        <v>11</v>
      </c>
      <c r="B1" s="98"/>
      <c r="C1" s="98"/>
    </row>
    <row r="2" spans="1:7" ht="21.75" thickBot="1" x14ac:dyDescent="0.3">
      <c r="A2" s="12" t="s">
        <v>0</v>
      </c>
      <c r="B2" s="11" t="s">
        <v>1</v>
      </c>
      <c r="C2" s="6" t="s">
        <v>2</v>
      </c>
    </row>
    <row r="3" spans="1:7" ht="21.75" thickBot="1" x14ac:dyDescent="0.4">
      <c r="A3" s="7" t="s">
        <v>3</v>
      </c>
      <c r="B3" s="8">
        <v>45324</v>
      </c>
      <c r="C3" s="9">
        <v>271.64</v>
      </c>
    </row>
    <row r="4" spans="1:7" ht="21.75" thickBot="1" x14ac:dyDescent="0.4">
      <c r="A4" s="7" t="s">
        <v>4</v>
      </c>
      <c r="B4" s="8">
        <v>45354</v>
      </c>
      <c r="C4" s="9">
        <v>1064.6300000000001</v>
      </c>
      <c r="F4" s="3"/>
      <c r="G4" s="5"/>
    </row>
    <row r="5" spans="1:7" ht="21.75" thickBot="1" x14ac:dyDescent="0.4">
      <c r="A5" s="7" t="s">
        <v>5</v>
      </c>
      <c r="B5" s="8">
        <v>45386</v>
      </c>
      <c r="C5" s="9">
        <v>144.15</v>
      </c>
      <c r="E5" s="3"/>
    </row>
    <row r="6" spans="1:7" ht="21.75" thickBot="1" x14ac:dyDescent="0.4">
      <c r="A6" s="7" t="s">
        <v>6</v>
      </c>
      <c r="B6" s="8">
        <v>45417</v>
      </c>
      <c r="C6" s="9">
        <v>612.89</v>
      </c>
      <c r="E6" s="3"/>
    </row>
    <row r="7" spans="1:7" ht="21.75" thickBot="1" x14ac:dyDescent="0.4">
      <c r="A7" s="7" t="s">
        <v>7</v>
      </c>
      <c r="B7" s="8">
        <v>45449</v>
      </c>
      <c r="C7" s="9">
        <v>743.32</v>
      </c>
    </row>
    <row r="8" spans="1:7" ht="21.75" thickBot="1" x14ac:dyDescent="0.4">
      <c r="A8" s="7" t="s">
        <v>8</v>
      </c>
      <c r="B8" s="8">
        <v>45480</v>
      </c>
      <c r="C8" s="9">
        <v>665.72</v>
      </c>
      <c r="E8" s="3"/>
    </row>
    <row r="9" spans="1:7" ht="21.75" thickBot="1" x14ac:dyDescent="0.4">
      <c r="A9" s="7" t="s">
        <v>9</v>
      </c>
      <c r="B9" s="8">
        <v>45512</v>
      </c>
      <c r="C9" s="9">
        <v>877.72</v>
      </c>
    </row>
    <row r="10" spans="1:7" ht="21.75" thickBot="1" x14ac:dyDescent="0.4">
      <c r="A10" s="7" t="s">
        <v>10</v>
      </c>
      <c r="B10" s="10">
        <v>45544</v>
      </c>
      <c r="C10" s="9">
        <v>512.54</v>
      </c>
      <c r="D10" s="4"/>
    </row>
    <row r="11" spans="1:7" ht="21.75" thickBot="1" x14ac:dyDescent="0.4">
      <c r="A11" s="7"/>
      <c r="B11" s="10"/>
      <c r="C11" s="9"/>
    </row>
    <row r="12" spans="1:7" ht="21" x14ac:dyDescent="0.35">
      <c r="B12" s="2"/>
    </row>
    <row r="13" spans="1:7" ht="21" x14ac:dyDescent="0.35">
      <c r="B13" s="2"/>
    </row>
    <row r="14" spans="1:7" ht="21" x14ac:dyDescent="0.35">
      <c r="B14" s="2"/>
    </row>
    <row r="15" spans="1:7" ht="21" x14ac:dyDescent="0.35">
      <c r="B15" s="2"/>
    </row>
    <row r="16" spans="1:7" ht="21" x14ac:dyDescent="0.35">
      <c r="B16" s="2"/>
    </row>
    <row r="17" spans="2:2" ht="21" x14ac:dyDescent="0.35">
      <c r="B17" s="2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ht="73.5" customHeight="1" x14ac:dyDescent="0.25">
      <c r="B21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  <row r="9075" spans="2:2" x14ac:dyDescent="0.25">
      <c r="B9075" s="1"/>
    </row>
    <row r="9076" spans="2:2" x14ac:dyDescent="0.25">
      <c r="B9076" s="1"/>
    </row>
    <row r="9077" spans="2:2" x14ac:dyDescent="0.25">
      <c r="B9077" s="1"/>
    </row>
    <row r="9078" spans="2:2" x14ac:dyDescent="0.25">
      <c r="B9078" s="1"/>
    </row>
    <row r="9079" spans="2:2" x14ac:dyDescent="0.25">
      <c r="B9079" s="1"/>
    </row>
    <row r="9080" spans="2:2" x14ac:dyDescent="0.25">
      <c r="B9080" s="1"/>
    </row>
    <row r="9081" spans="2:2" x14ac:dyDescent="0.25">
      <c r="B9081" s="1"/>
    </row>
    <row r="9082" spans="2:2" x14ac:dyDescent="0.25">
      <c r="B9082" s="1"/>
    </row>
    <row r="9083" spans="2:2" x14ac:dyDescent="0.25">
      <c r="B9083" s="1"/>
    </row>
    <row r="9084" spans="2:2" x14ac:dyDescent="0.25">
      <c r="B9084" s="1"/>
    </row>
    <row r="9085" spans="2:2" x14ac:dyDescent="0.25">
      <c r="B9085" s="1"/>
    </row>
    <row r="9086" spans="2:2" x14ac:dyDescent="0.25">
      <c r="B9086" s="1"/>
    </row>
    <row r="9087" spans="2:2" x14ac:dyDescent="0.25">
      <c r="B9087" s="1"/>
    </row>
    <row r="9088" spans="2:2" x14ac:dyDescent="0.25">
      <c r="B9088" s="1"/>
    </row>
    <row r="9089" spans="2:2" x14ac:dyDescent="0.25">
      <c r="B9089" s="1"/>
    </row>
    <row r="9090" spans="2:2" x14ac:dyDescent="0.25">
      <c r="B9090" s="1"/>
    </row>
    <row r="9091" spans="2:2" x14ac:dyDescent="0.25">
      <c r="B9091" s="1"/>
    </row>
    <row r="9092" spans="2:2" x14ac:dyDescent="0.25">
      <c r="B9092" s="1"/>
    </row>
    <row r="9093" spans="2:2" x14ac:dyDescent="0.25">
      <c r="B9093" s="1"/>
    </row>
    <row r="9094" spans="2:2" x14ac:dyDescent="0.25">
      <c r="B9094" s="1"/>
    </row>
    <row r="9095" spans="2:2" x14ac:dyDescent="0.25">
      <c r="B9095" s="1"/>
    </row>
    <row r="9096" spans="2:2" x14ac:dyDescent="0.25">
      <c r="B9096" s="1"/>
    </row>
    <row r="9097" spans="2:2" x14ac:dyDescent="0.25">
      <c r="B9097" s="1"/>
    </row>
    <row r="9098" spans="2:2" x14ac:dyDescent="0.25">
      <c r="B9098" s="1"/>
    </row>
    <row r="9099" spans="2:2" x14ac:dyDescent="0.25">
      <c r="B9099" s="1"/>
    </row>
    <row r="9100" spans="2:2" x14ac:dyDescent="0.25">
      <c r="B9100" s="1"/>
    </row>
    <row r="9101" spans="2:2" x14ac:dyDescent="0.25">
      <c r="B9101" s="1"/>
    </row>
    <row r="9102" spans="2:2" x14ac:dyDescent="0.25">
      <c r="B9102" s="1"/>
    </row>
    <row r="9103" spans="2:2" x14ac:dyDescent="0.25">
      <c r="B9103" s="1"/>
    </row>
    <row r="9104" spans="2:2" x14ac:dyDescent="0.25">
      <c r="B9104" s="1"/>
    </row>
    <row r="9105" spans="2:2" x14ac:dyDescent="0.25">
      <c r="B9105" s="1"/>
    </row>
    <row r="9106" spans="2:2" x14ac:dyDescent="0.25">
      <c r="B9106" s="1"/>
    </row>
    <row r="9107" spans="2:2" x14ac:dyDescent="0.25">
      <c r="B9107" s="1"/>
    </row>
    <row r="9108" spans="2:2" x14ac:dyDescent="0.25">
      <c r="B9108" s="1"/>
    </row>
    <row r="9109" spans="2:2" x14ac:dyDescent="0.25">
      <c r="B9109" s="1"/>
    </row>
    <row r="9110" spans="2:2" x14ac:dyDescent="0.25">
      <c r="B9110" s="1"/>
    </row>
    <row r="9111" spans="2:2" x14ac:dyDescent="0.25">
      <c r="B9111" s="1"/>
    </row>
    <row r="9112" spans="2:2" x14ac:dyDescent="0.25">
      <c r="B9112" s="1"/>
    </row>
    <row r="9113" spans="2:2" x14ac:dyDescent="0.25">
      <c r="B9113" s="1"/>
    </row>
    <row r="9114" spans="2:2" x14ac:dyDescent="0.25">
      <c r="B9114" s="1"/>
    </row>
    <row r="9115" spans="2:2" x14ac:dyDescent="0.25">
      <c r="B9115" s="1"/>
    </row>
    <row r="9116" spans="2:2" x14ac:dyDescent="0.25">
      <c r="B9116" s="1"/>
    </row>
    <row r="9117" spans="2:2" x14ac:dyDescent="0.25">
      <c r="B9117" s="1"/>
    </row>
    <row r="9118" spans="2:2" x14ac:dyDescent="0.25">
      <c r="B9118" s="1"/>
    </row>
    <row r="9119" spans="2:2" x14ac:dyDescent="0.25">
      <c r="B9119" s="1"/>
    </row>
    <row r="9120" spans="2:2" x14ac:dyDescent="0.25">
      <c r="B9120" s="1"/>
    </row>
    <row r="9121" spans="2:2" x14ac:dyDescent="0.25">
      <c r="B9121" s="1"/>
    </row>
    <row r="9122" spans="2:2" x14ac:dyDescent="0.25">
      <c r="B9122" s="1"/>
    </row>
    <row r="9123" spans="2:2" x14ac:dyDescent="0.25">
      <c r="B9123" s="1"/>
    </row>
    <row r="9124" spans="2:2" x14ac:dyDescent="0.25">
      <c r="B9124" s="1"/>
    </row>
    <row r="9125" spans="2:2" x14ac:dyDescent="0.25">
      <c r="B9125" s="1"/>
    </row>
    <row r="9126" spans="2:2" x14ac:dyDescent="0.25">
      <c r="B9126" s="1"/>
    </row>
    <row r="9127" spans="2:2" x14ac:dyDescent="0.25">
      <c r="B9127" s="1"/>
    </row>
    <row r="9128" spans="2:2" x14ac:dyDescent="0.25">
      <c r="B9128" s="1"/>
    </row>
    <row r="9129" spans="2:2" x14ac:dyDescent="0.25">
      <c r="B9129" s="1"/>
    </row>
    <row r="9130" spans="2:2" x14ac:dyDescent="0.25">
      <c r="B9130" s="1"/>
    </row>
    <row r="9131" spans="2:2" x14ac:dyDescent="0.25">
      <c r="B9131" s="1"/>
    </row>
    <row r="9132" spans="2:2" x14ac:dyDescent="0.25">
      <c r="B9132" s="1"/>
    </row>
    <row r="9133" spans="2:2" x14ac:dyDescent="0.25">
      <c r="B9133" s="1"/>
    </row>
    <row r="9134" spans="2:2" x14ac:dyDescent="0.25">
      <c r="B9134" s="1"/>
    </row>
    <row r="9135" spans="2:2" x14ac:dyDescent="0.25">
      <c r="B9135" s="1"/>
    </row>
    <row r="9136" spans="2:2" x14ac:dyDescent="0.25">
      <c r="B9136" s="1"/>
    </row>
    <row r="9137" spans="2:2" x14ac:dyDescent="0.25">
      <c r="B9137" s="1"/>
    </row>
    <row r="9138" spans="2:2" x14ac:dyDescent="0.25">
      <c r="B9138" s="1"/>
    </row>
    <row r="9139" spans="2:2" x14ac:dyDescent="0.25">
      <c r="B9139" s="1"/>
    </row>
    <row r="9140" spans="2:2" x14ac:dyDescent="0.25">
      <c r="B9140" s="1"/>
    </row>
    <row r="9141" spans="2:2" x14ac:dyDescent="0.25">
      <c r="B9141" s="1"/>
    </row>
    <row r="9142" spans="2:2" x14ac:dyDescent="0.25">
      <c r="B9142" s="1"/>
    </row>
    <row r="9143" spans="2:2" x14ac:dyDescent="0.25">
      <c r="B9143" s="1"/>
    </row>
    <row r="9144" spans="2:2" x14ac:dyDescent="0.25">
      <c r="B9144" s="1"/>
    </row>
    <row r="9145" spans="2:2" x14ac:dyDescent="0.25">
      <c r="B9145" s="1"/>
    </row>
    <row r="9146" spans="2:2" x14ac:dyDescent="0.25">
      <c r="B9146" s="1"/>
    </row>
    <row r="9147" spans="2:2" x14ac:dyDescent="0.25">
      <c r="B9147" s="1"/>
    </row>
    <row r="9148" spans="2:2" x14ac:dyDescent="0.25">
      <c r="B9148" s="1"/>
    </row>
    <row r="9149" spans="2:2" x14ac:dyDescent="0.25">
      <c r="B9149" s="1"/>
    </row>
    <row r="9150" spans="2:2" x14ac:dyDescent="0.25">
      <c r="B9150" s="1"/>
    </row>
    <row r="9151" spans="2:2" x14ac:dyDescent="0.25">
      <c r="B9151" s="1"/>
    </row>
    <row r="9152" spans="2:2" x14ac:dyDescent="0.25">
      <c r="B9152" s="1"/>
    </row>
    <row r="9153" spans="2:2" x14ac:dyDescent="0.25">
      <c r="B9153" s="1"/>
    </row>
    <row r="9154" spans="2:2" x14ac:dyDescent="0.25">
      <c r="B9154" s="1"/>
    </row>
    <row r="9155" spans="2:2" x14ac:dyDescent="0.25">
      <c r="B9155" s="1"/>
    </row>
    <row r="9156" spans="2:2" x14ac:dyDescent="0.25">
      <c r="B9156" s="1"/>
    </row>
    <row r="9157" spans="2:2" x14ac:dyDescent="0.25">
      <c r="B9157" s="1"/>
    </row>
    <row r="9158" spans="2:2" x14ac:dyDescent="0.25">
      <c r="B9158" s="1"/>
    </row>
    <row r="9159" spans="2:2" x14ac:dyDescent="0.25">
      <c r="B9159" s="1"/>
    </row>
    <row r="9160" spans="2:2" x14ac:dyDescent="0.25">
      <c r="B9160" s="1"/>
    </row>
    <row r="9161" spans="2:2" x14ac:dyDescent="0.25">
      <c r="B9161" s="1"/>
    </row>
    <row r="9162" spans="2:2" x14ac:dyDescent="0.25">
      <c r="B9162" s="1"/>
    </row>
    <row r="9163" spans="2:2" x14ac:dyDescent="0.25">
      <c r="B9163" s="1"/>
    </row>
    <row r="9164" spans="2:2" x14ac:dyDescent="0.25">
      <c r="B9164" s="1"/>
    </row>
    <row r="9165" spans="2:2" x14ac:dyDescent="0.25">
      <c r="B9165" s="1"/>
    </row>
    <row r="9166" spans="2:2" x14ac:dyDescent="0.25">
      <c r="B9166" s="1"/>
    </row>
    <row r="9167" spans="2:2" x14ac:dyDescent="0.25">
      <c r="B9167" s="1"/>
    </row>
    <row r="9168" spans="2:2" x14ac:dyDescent="0.25">
      <c r="B9168" s="1"/>
    </row>
    <row r="9169" spans="2:2" x14ac:dyDescent="0.25">
      <c r="B9169" s="1"/>
    </row>
    <row r="9170" spans="2:2" x14ac:dyDescent="0.25">
      <c r="B9170" s="1"/>
    </row>
    <row r="9171" spans="2:2" x14ac:dyDescent="0.25">
      <c r="B9171" s="1"/>
    </row>
    <row r="9172" spans="2:2" x14ac:dyDescent="0.25">
      <c r="B9172" s="1"/>
    </row>
    <row r="9173" spans="2:2" x14ac:dyDescent="0.25">
      <c r="B9173" s="1"/>
    </row>
    <row r="9174" spans="2:2" x14ac:dyDescent="0.25">
      <c r="B9174" s="1"/>
    </row>
    <row r="9175" spans="2:2" x14ac:dyDescent="0.25">
      <c r="B9175" s="1"/>
    </row>
    <row r="9176" spans="2:2" x14ac:dyDescent="0.25">
      <c r="B9176" s="1"/>
    </row>
    <row r="9177" spans="2:2" x14ac:dyDescent="0.25">
      <c r="B9177" s="1"/>
    </row>
    <row r="9178" spans="2:2" x14ac:dyDescent="0.25">
      <c r="B9178" s="1"/>
    </row>
    <row r="9179" spans="2:2" x14ac:dyDescent="0.25">
      <c r="B9179" s="1"/>
    </row>
    <row r="9180" spans="2:2" x14ac:dyDescent="0.25">
      <c r="B9180" s="1"/>
    </row>
    <row r="9181" spans="2:2" x14ac:dyDescent="0.25">
      <c r="B9181" s="1"/>
    </row>
    <row r="9182" spans="2:2" x14ac:dyDescent="0.25">
      <c r="B9182" s="1"/>
    </row>
    <row r="9183" spans="2:2" x14ac:dyDescent="0.25">
      <c r="B9183" s="1"/>
    </row>
    <row r="9184" spans="2:2" x14ac:dyDescent="0.25">
      <c r="B9184" s="1"/>
    </row>
    <row r="9185" spans="2:2" x14ac:dyDescent="0.25">
      <c r="B9185" s="1"/>
    </row>
    <row r="9186" spans="2:2" x14ac:dyDescent="0.25">
      <c r="B9186" s="1"/>
    </row>
    <row r="9187" spans="2:2" x14ac:dyDescent="0.25">
      <c r="B9187" s="1"/>
    </row>
    <row r="9188" spans="2:2" x14ac:dyDescent="0.25">
      <c r="B9188" s="1"/>
    </row>
    <row r="9189" spans="2:2" x14ac:dyDescent="0.25">
      <c r="B9189" s="1"/>
    </row>
    <row r="9190" spans="2:2" x14ac:dyDescent="0.25">
      <c r="B9190" s="1"/>
    </row>
    <row r="9191" spans="2:2" x14ac:dyDescent="0.25">
      <c r="B9191" s="1"/>
    </row>
    <row r="9192" spans="2:2" x14ac:dyDescent="0.25">
      <c r="B9192" s="1"/>
    </row>
    <row r="9193" spans="2:2" x14ac:dyDescent="0.25">
      <c r="B9193" s="1"/>
    </row>
    <row r="9194" spans="2:2" x14ac:dyDescent="0.25">
      <c r="B9194" s="1"/>
    </row>
    <row r="9195" spans="2:2" x14ac:dyDescent="0.25">
      <c r="B9195" s="1"/>
    </row>
    <row r="9196" spans="2:2" x14ac:dyDescent="0.25">
      <c r="B9196" s="1"/>
    </row>
    <row r="9197" spans="2:2" x14ac:dyDescent="0.25">
      <c r="B9197" s="1"/>
    </row>
    <row r="9198" spans="2:2" x14ac:dyDescent="0.25">
      <c r="B9198" s="1"/>
    </row>
    <row r="9199" spans="2:2" x14ac:dyDescent="0.25">
      <c r="B9199" s="1"/>
    </row>
    <row r="9200" spans="2:2" x14ac:dyDescent="0.25">
      <c r="B9200" s="1"/>
    </row>
    <row r="9201" spans="2:2" x14ac:dyDescent="0.25">
      <c r="B9201" s="1"/>
    </row>
    <row r="9202" spans="2:2" x14ac:dyDescent="0.25">
      <c r="B9202" s="1"/>
    </row>
    <row r="9203" spans="2:2" x14ac:dyDescent="0.25">
      <c r="B9203" s="1"/>
    </row>
    <row r="9204" spans="2:2" x14ac:dyDescent="0.25">
      <c r="B9204" s="1"/>
    </row>
    <row r="9205" spans="2:2" x14ac:dyDescent="0.25">
      <c r="B9205" s="1"/>
    </row>
    <row r="9206" spans="2:2" x14ac:dyDescent="0.25">
      <c r="B9206" s="1"/>
    </row>
    <row r="9207" spans="2:2" x14ac:dyDescent="0.25">
      <c r="B9207" s="1"/>
    </row>
    <row r="9208" spans="2:2" x14ac:dyDescent="0.25">
      <c r="B9208" s="1"/>
    </row>
    <row r="9209" spans="2:2" x14ac:dyDescent="0.25">
      <c r="B9209" s="1"/>
    </row>
    <row r="9210" spans="2:2" x14ac:dyDescent="0.25">
      <c r="B9210" s="1"/>
    </row>
    <row r="9211" spans="2:2" x14ac:dyDescent="0.25">
      <c r="B9211" s="1"/>
    </row>
    <row r="9212" spans="2:2" x14ac:dyDescent="0.25">
      <c r="B9212" s="1"/>
    </row>
    <row r="9213" spans="2:2" x14ac:dyDescent="0.25">
      <c r="B9213" s="1"/>
    </row>
    <row r="9214" spans="2:2" x14ac:dyDescent="0.25">
      <c r="B9214" s="1"/>
    </row>
    <row r="9215" spans="2:2" x14ac:dyDescent="0.25">
      <c r="B9215" s="1"/>
    </row>
    <row r="9216" spans="2:2" x14ac:dyDescent="0.25">
      <c r="B9216" s="1"/>
    </row>
    <row r="9217" spans="2:2" x14ac:dyDescent="0.25">
      <c r="B9217" s="1"/>
    </row>
    <row r="9218" spans="2:2" x14ac:dyDescent="0.25">
      <c r="B9218" s="1"/>
    </row>
    <row r="9219" spans="2:2" x14ac:dyDescent="0.25">
      <c r="B9219" s="1"/>
    </row>
    <row r="9220" spans="2:2" x14ac:dyDescent="0.25">
      <c r="B9220" s="1"/>
    </row>
    <row r="9221" spans="2:2" x14ac:dyDescent="0.25">
      <c r="B9221" s="1"/>
    </row>
    <row r="9222" spans="2:2" x14ac:dyDescent="0.25">
      <c r="B9222" s="1"/>
    </row>
    <row r="9223" spans="2:2" x14ac:dyDescent="0.25">
      <c r="B9223" s="1"/>
    </row>
    <row r="9224" spans="2:2" x14ac:dyDescent="0.25">
      <c r="B9224" s="1"/>
    </row>
    <row r="9225" spans="2:2" x14ac:dyDescent="0.25">
      <c r="B9225" s="1"/>
    </row>
    <row r="9226" spans="2:2" x14ac:dyDescent="0.25">
      <c r="B9226" s="1"/>
    </row>
    <row r="9227" spans="2:2" x14ac:dyDescent="0.25">
      <c r="B9227" s="1"/>
    </row>
    <row r="9228" spans="2:2" x14ac:dyDescent="0.25">
      <c r="B9228" s="1"/>
    </row>
    <row r="9229" spans="2:2" x14ac:dyDescent="0.25">
      <c r="B9229" s="1"/>
    </row>
    <row r="9230" spans="2:2" x14ac:dyDescent="0.25">
      <c r="B9230" s="1"/>
    </row>
    <row r="9231" spans="2:2" x14ac:dyDescent="0.25">
      <c r="B9231" s="1"/>
    </row>
    <row r="9232" spans="2:2" x14ac:dyDescent="0.25">
      <c r="B9232" s="1"/>
    </row>
    <row r="9233" spans="2:2" x14ac:dyDescent="0.25">
      <c r="B9233" s="1"/>
    </row>
    <row r="9234" spans="2:2" x14ac:dyDescent="0.25">
      <c r="B9234" s="1"/>
    </row>
    <row r="9235" spans="2:2" x14ac:dyDescent="0.25">
      <c r="B9235" s="1"/>
    </row>
    <row r="9236" spans="2:2" x14ac:dyDescent="0.25">
      <c r="B9236" s="1"/>
    </row>
    <row r="9237" spans="2:2" x14ac:dyDescent="0.25">
      <c r="B9237" s="1"/>
    </row>
    <row r="9238" spans="2:2" x14ac:dyDescent="0.25">
      <c r="B9238" s="1"/>
    </row>
    <row r="9239" spans="2:2" x14ac:dyDescent="0.25">
      <c r="B9239" s="1"/>
    </row>
    <row r="9240" spans="2:2" x14ac:dyDescent="0.25">
      <c r="B9240" s="1"/>
    </row>
    <row r="9241" spans="2:2" x14ac:dyDescent="0.25">
      <c r="B9241" s="1"/>
    </row>
    <row r="9242" spans="2:2" x14ac:dyDescent="0.25">
      <c r="B9242" s="1"/>
    </row>
    <row r="9243" spans="2:2" x14ac:dyDescent="0.25">
      <c r="B9243" s="1"/>
    </row>
    <row r="9244" spans="2:2" x14ac:dyDescent="0.25">
      <c r="B9244" s="1"/>
    </row>
    <row r="9245" spans="2:2" x14ac:dyDescent="0.25">
      <c r="B9245" s="1"/>
    </row>
    <row r="9246" spans="2:2" x14ac:dyDescent="0.25">
      <c r="B9246" s="1"/>
    </row>
    <row r="9247" spans="2:2" x14ac:dyDescent="0.25">
      <c r="B9247" s="1"/>
    </row>
    <row r="9248" spans="2:2" x14ac:dyDescent="0.25">
      <c r="B9248" s="1"/>
    </row>
    <row r="9249" spans="2:2" x14ac:dyDescent="0.25">
      <c r="B9249" s="1"/>
    </row>
    <row r="9250" spans="2:2" x14ac:dyDescent="0.25">
      <c r="B9250" s="1"/>
    </row>
    <row r="9251" spans="2:2" x14ac:dyDescent="0.25">
      <c r="B9251" s="1"/>
    </row>
    <row r="9252" spans="2:2" x14ac:dyDescent="0.25">
      <c r="B9252" s="1"/>
    </row>
    <row r="9253" spans="2:2" x14ac:dyDescent="0.25">
      <c r="B9253" s="1"/>
    </row>
    <row r="9254" spans="2:2" x14ac:dyDescent="0.25">
      <c r="B9254" s="1"/>
    </row>
    <row r="9255" spans="2:2" x14ac:dyDescent="0.25">
      <c r="B9255" s="1"/>
    </row>
    <row r="9256" spans="2:2" x14ac:dyDescent="0.25">
      <c r="B9256" s="1"/>
    </row>
    <row r="9257" spans="2:2" x14ac:dyDescent="0.25">
      <c r="B9257" s="1"/>
    </row>
    <row r="9258" spans="2:2" x14ac:dyDescent="0.25">
      <c r="B9258" s="1"/>
    </row>
    <row r="9259" spans="2:2" x14ac:dyDescent="0.25">
      <c r="B9259" s="1"/>
    </row>
    <row r="9260" spans="2:2" x14ac:dyDescent="0.25">
      <c r="B9260" s="1"/>
    </row>
    <row r="9261" spans="2:2" x14ac:dyDescent="0.25">
      <c r="B9261" s="1"/>
    </row>
    <row r="9262" spans="2:2" x14ac:dyDescent="0.25">
      <c r="B9262" s="1"/>
    </row>
    <row r="9263" spans="2:2" x14ac:dyDescent="0.25">
      <c r="B9263" s="1"/>
    </row>
    <row r="9264" spans="2:2" x14ac:dyDescent="0.25">
      <c r="B9264" s="1"/>
    </row>
    <row r="9265" spans="2:2" x14ac:dyDescent="0.25">
      <c r="B9265" s="1"/>
    </row>
    <row r="9266" spans="2:2" x14ac:dyDescent="0.25">
      <c r="B9266" s="1"/>
    </row>
    <row r="9267" spans="2:2" x14ac:dyDescent="0.25">
      <c r="B9267" s="1"/>
    </row>
    <row r="9268" spans="2:2" x14ac:dyDescent="0.25">
      <c r="B9268" s="1"/>
    </row>
    <row r="9269" spans="2:2" x14ac:dyDescent="0.25">
      <c r="B9269" s="1"/>
    </row>
    <row r="9270" spans="2:2" x14ac:dyDescent="0.25">
      <c r="B9270" s="1"/>
    </row>
    <row r="9271" spans="2:2" x14ac:dyDescent="0.25">
      <c r="B9271" s="1"/>
    </row>
    <row r="9272" spans="2:2" x14ac:dyDescent="0.25">
      <c r="B9272" s="1"/>
    </row>
    <row r="9273" spans="2:2" x14ac:dyDescent="0.25">
      <c r="B9273" s="1"/>
    </row>
    <row r="9274" spans="2:2" x14ac:dyDescent="0.25">
      <c r="B9274" s="1"/>
    </row>
    <row r="9275" spans="2:2" x14ac:dyDescent="0.25">
      <c r="B9275" s="1"/>
    </row>
    <row r="9276" spans="2:2" x14ac:dyDescent="0.25">
      <c r="B9276" s="1"/>
    </row>
    <row r="9277" spans="2:2" x14ac:dyDescent="0.25">
      <c r="B9277" s="1"/>
    </row>
    <row r="9278" spans="2:2" x14ac:dyDescent="0.25">
      <c r="B9278" s="1"/>
    </row>
    <row r="9279" spans="2:2" x14ac:dyDescent="0.25">
      <c r="B9279" s="1"/>
    </row>
    <row r="9280" spans="2:2" x14ac:dyDescent="0.25">
      <c r="B9280" s="1"/>
    </row>
    <row r="9281" spans="2:2" x14ac:dyDescent="0.25">
      <c r="B9281" s="1"/>
    </row>
    <row r="9282" spans="2:2" x14ac:dyDescent="0.25">
      <c r="B9282" s="1"/>
    </row>
    <row r="9283" spans="2:2" x14ac:dyDescent="0.25">
      <c r="B9283" s="1"/>
    </row>
    <row r="9284" spans="2:2" x14ac:dyDescent="0.25">
      <c r="B9284" s="1"/>
    </row>
    <row r="9285" spans="2:2" x14ac:dyDescent="0.25">
      <c r="B9285" s="1"/>
    </row>
    <row r="9286" spans="2:2" x14ac:dyDescent="0.25">
      <c r="B9286" s="1"/>
    </row>
    <row r="9287" spans="2:2" x14ac:dyDescent="0.25">
      <c r="B9287" s="1"/>
    </row>
    <row r="9288" spans="2:2" x14ac:dyDescent="0.25">
      <c r="B9288" s="1"/>
    </row>
    <row r="9289" spans="2:2" x14ac:dyDescent="0.25">
      <c r="B9289" s="1"/>
    </row>
    <row r="9290" spans="2:2" x14ac:dyDescent="0.25">
      <c r="B9290" s="1"/>
    </row>
    <row r="9291" spans="2:2" x14ac:dyDescent="0.25">
      <c r="B9291" s="1"/>
    </row>
    <row r="9292" spans="2:2" x14ac:dyDescent="0.25">
      <c r="B9292" s="1"/>
    </row>
    <row r="9293" spans="2:2" x14ac:dyDescent="0.25">
      <c r="B9293" s="1"/>
    </row>
    <row r="9294" spans="2:2" x14ac:dyDescent="0.25">
      <c r="B9294" s="1"/>
    </row>
    <row r="9295" spans="2:2" x14ac:dyDescent="0.25">
      <c r="B9295" s="1"/>
    </row>
    <row r="9296" spans="2:2" x14ac:dyDescent="0.25">
      <c r="B9296" s="1"/>
    </row>
    <row r="9297" spans="2:2" x14ac:dyDescent="0.25">
      <c r="B9297" s="1"/>
    </row>
    <row r="9298" spans="2:2" x14ac:dyDescent="0.25">
      <c r="B9298" s="1"/>
    </row>
    <row r="9299" spans="2:2" x14ac:dyDescent="0.25">
      <c r="B9299" s="1"/>
    </row>
    <row r="9300" spans="2:2" x14ac:dyDescent="0.25">
      <c r="B9300" s="1"/>
    </row>
    <row r="9301" spans="2:2" x14ac:dyDescent="0.25">
      <c r="B9301" s="1"/>
    </row>
    <row r="9302" spans="2:2" x14ac:dyDescent="0.25">
      <c r="B9302" s="1"/>
    </row>
    <row r="9303" spans="2:2" x14ac:dyDescent="0.25">
      <c r="B9303" s="1"/>
    </row>
    <row r="9304" spans="2:2" x14ac:dyDescent="0.25">
      <c r="B9304" s="1"/>
    </row>
    <row r="9305" spans="2:2" x14ac:dyDescent="0.25">
      <c r="B9305" s="1"/>
    </row>
    <row r="9306" spans="2:2" x14ac:dyDescent="0.25">
      <c r="B9306" s="1"/>
    </row>
    <row r="9307" spans="2:2" x14ac:dyDescent="0.25">
      <c r="B9307" s="1"/>
    </row>
    <row r="9308" spans="2:2" x14ac:dyDescent="0.25">
      <c r="B9308" s="1"/>
    </row>
    <row r="9309" spans="2:2" x14ac:dyDescent="0.25">
      <c r="B9309" s="1"/>
    </row>
    <row r="9310" spans="2:2" x14ac:dyDescent="0.25">
      <c r="B9310" s="1"/>
    </row>
    <row r="9311" spans="2:2" x14ac:dyDescent="0.25">
      <c r="B9311" s="1"/>
    </row>
    <row r="9312" spans="2:2" x14ac:dyDescent="0.25">
      <c r="B9312" s="1"/>
    </row>
    <row r="9313" spans="2:2" x14ac:dyDescent="0.25">
      <c r="B9313" s="1"/>
    </row>
    <row r="9314" spans="2:2" x14ac:dyDescent="0.25">
      <c r="B9314" s="1"/>
    </row>
    <row r="9315" spans="2:2" x14ac:dyDescent="0.25">
      <c r="B9315" s="1"/>
    </row>
    <row r="9316" spans="2:2" x14ac:dyDescent="0.25">
      <c r="B9316" s="1"/>
    </row>
    <row r="9317" spans="2:2" x14ac:dyDescent="0.25">
      <c r="B9317" s="1"/>
    </row>
    <row r="9318" spans="2:2" x14ac:dyDescent="0.25">
      <c r="B9318" s="1"/>
    </row>
    <row r="9319" spans="2:2" x14ac:dyDescent="0.25">
      <c r="B9319" s="1"/>
    </row>
    <row r="9320" spans="2:2" x14ac:dyDescent="0.25">
      <c r="B9320" s="1"/>
    </row>
    <row r="9321" spans="2:2" x14ac:dyDescent="0.25">
      <c r="B9321" s="1"/>
    </row>
    <row r="9322" spans="2:2" x14ac:dyDescent="0.25">
      <c r="B9322" s="1"/>
    </row>
    <row r="9323" spans="2:2" x14ac:dyDescent="0.25">
      <c r="B9323" s="1"/>
    </row>
    <row r="9324" spans="2:2" x14ac:dyDescent="0.25">
      <c r="B9324" s="1"/>
    </row>
    <row r="9325" spans="2:2" x14ac:dyDescent="0.25">
      <c r="B9325" s="1"/>
    </row>
    <row r="9326" spans="2:2" x14ac:dyDescent="0.25">
      <c r="B9326" s="1"/>
    </row>
    <row r="9327" spans="2:2" x14ac:dyDescent="0.25">
      <c r="B9327" s="1"/>
    </row>
    <row r="9328" spans="2:2" x14ac:dyDescent="0.25">
      <c r="B9328" s="1"/>
    </row>
    <row r="9329" spans="2:2" x14ac:dyDescent="0.25">
      <c r="B9329" s="1"/>
    </row>
    <row r="9330" spans="2:2" x14ac:dyDescent="0.25">
      <c r="B9330" s="1"/>
    </row>
    <row r="9331" spans="2:2" x14ac:dyDescent="0.25">
      <c r="B9331" s="1"/>
    </row>
    <row r="9332" spans="2:2" x14ac:dyDescent="0.25">
      <c r="B9332" s="1"/>
    </row>
    <row r="9333" spans="2:2" x14ac:dyDescent="0.25">
      <c r="B9333" s="1"/>
    </row>
    <row r="9334" spans="2:2" x14ac:dyDescent="0.25">
      <c r="B9334" s="1"/>
    </row>
    <row r="9335" spans="2:2" x14ac:dyDescent="0.25">
      <c r="B9335" s="1"/>
    </row>
    <row r="9336" spans="2:2" x14ac:dyDescent="0.25">
      <c r="B9336" s="1"/>
    </row>
    <row r="9337" spans="2:2" x14ac:dyDescent="0.25">
      <c r="B9337" s="1"/>
    </row>
    <row r="9338" spans="2:2" x14ac:dyDescent="0.25">
      <c r="B9338" s="1"/>
    </row>
    <row r="9339" spans="2:2" x14ac:dyDescent="0.25">
      <c r="B9339" s="1"/>
    </row>
    <row r="9340" spans="2:2" x14ac:dyDescent="0.25">
      <c r="B9340" s="1"/>
    </row>
    <row r="9341" spans="2:2" x14ac:dyDescent="0.25">
      <c r="B9341" s="1"/>
    </row>
    <row r="9342" spans="2:2" x14ac:dyDescent="0.25">
      <c r="B9342" s="1"/>
    </row>
    <row r="9343" spans="2:2" x14ac:dyDescent="0.25">
      <c r="B9343" s="1"/>
    </row>
    <row r="9344" spans="2:2" x14ac:dyDescent="0.25">
      <c r="B9344" s="1"/>
    </row>
    <row r="9345" spans="2:2" x14ac:dyDescent="0.25">
      <c r="B9345" s="1"/>
    </row>
    <row r="9346" spans="2:2" x14ac:dyDescent="0.25">
      <c r="B9346" s="1"/>
    </row>
    <row r="9347" spans="2:2" x14ac:dyDescent="0.25">
      <c r="B9347" s="1"/>
    </row>
    <row r="9348" spans="2:2" x14ac:dyDescent="0.25">
      <c r="B9348" s="1"/>
    </row>
    <row r="9349" spans="2:2" x14ac:dyDescent="0.25">
      <c r="B9349" s="1"/>
    </row>
    <row r="9350" spans="2:2" x14ac:dyDescent="0.25">
      <c r="B9350" s="1"/>
    </row>
    <row r="9351" spans="2:2" x14ac:dyDescent="0.25">
      <c r="B9351" s="1"/>
    </row>
    <row r="9352" spans="2:2" x14ac:dyDescent="0.25">
      <c r="B9352" s="1"/>
    </row>
    <row r="9353" spans="2:2" x14ac:dyDescent="0.25">
      <c r="B9353" s="1"/>
    </row>
    <row r="9354" spans="2:2" x14ac:dyDescent="0.25">
      <c r="B9354" s="1"/>
    </row>
    <row r="9355" spans="2:2" x14ac:dyDescent="0.25">
      <c r="B9355" s="1"/>
    </row>
    <row r="9356" spans="2:2" x14ac:dyDescent="0.25">
      <c r="B9356" s="1"/>
    </row>
    <row r="9357" spans="2:2" x14ac:dyDescent="0.25">
      <c r="B9357" s="1"/>
    </row>
    <row r="9358" spans="2:2" x14ac:dyDescent="0.25">
      <c r="B9358" s="1"/>
    </row>
    <row r="9359" spans="2:2" x14ac:dyDescent="0.25">
      <c r="B9359" s="1"/>
    </row>
    <row r="9360" spans="2:2" x14ac:dyDescent="0.25">
      <c r="B9360" s="1"/>
    </row>
    <row r="9361" spans="2:2" x14ac:dyDescent="0.25">
      <c r="B9361" s="1"/>
    </row>
    <row r="9362" spans="2:2" x14ac:dyDescent="0.25">
      <c r="B9362" s="1"/>
    </row>
    <row r="9363" spans="2:2" x14ac:dyDescent="0.25">
      <c r="B9363" s="1"/>
    </row>
    <row r="9364" spans="2:2" x14ac:dyDescent="0.25">
      <c r="B9364" s="1"/>
    </row>
    <row r="9365" spans="2:2" x14ac:dyDescent="0.25">
      <c r="B9365" s="1"/>
    </row>
    <row r="9366" spans="2:2" x14ac:dyDescent="0.25">
      <c r="B9366" s="1"/>
    </row>
    <row r="9367" spans="2:2" x14ac:dyDescent="0.25">
      <c r="B9367" s="1"/>
    </row>
    <row r="9368" spans="2:2" x14ac:dyDescent="0.25">
      <c r="B9368" s="1"/>
    </row>
    <row r="9369" spans="2:2" x14ac:dyDescent="0.25">
      <c r="B9369" s="1"/>
    </row>
    <row r="9370" spans="2:2" x14ac:dyDescent="0.25">
      <c r="B9370" s="1"/>
    </row>
    <row r="9371" spans="2:2" x14ac:dyDescent="0.25">
      <c r="B9371" s="1"/>
    </row>
    <row r="9372" spans="2:2" x14ac:dyDescent="0.25">
      <c r="B9372" s="1"/>
    </row>
    <row r="9373" spans="2:2" x14ac:dyDescent="0.25">
      <c r="B9373" s="1"/>
    </row>
    <row r="9374" spans="2:2" x14ac:dyDescent="0.25">
      <c r="B9374" s="1"/>
    </row>
    <row r="9375" spans="2:2" x14ac:dyDescent="0.25">
      <c r="B9375" s="1"/>
    </row>
    <row r="9376" spans="2:2" x14ac:dyDescent="0.25">
      <c r="B9376" s="1"/>
    </row>
    <row r="9377" spans="2:2" x14ac:dyDescent="0.25">
      <c r="B9377" s="1"/>
    </row>
    <row r="9378" spans="2:2" x14ac:dyDescent="0.25">
      <c r="B9378" s="1"/>
    </row>
    <row r="9379" spans="2:2" x14ac:dyDescent="0.25">
      <c r="B9379" s="1"/>
    </row>
    <row r="9380" spans="2:2" x14ac:dyDescent="0.25">
      <c r="B9380" s="1"/>
    </row>
    <row r="9381" spans="2:2" x14ac:dyDescent="0.25">
      <c r="B9381" s="1"/>
    </row>
    <row r="9382" spans="2:2" x14ac:dyDescent="0.25">
      <c r="B9382" s="1"/>
    </row>
    <row r="9383" spans="2:2" x14ac:dyDescent="0.25">
      <c r="B9383" s="1"/>
    </row>
    <row r="9384" spans="2:2" x14ac:dyDescent="0.25">
      <c r="B9384" s="1"/>
    </row>
    <row r="9385" spans="2:2" x14ac:dyDescent="0.25">
      <c r="B9385" s="1"/>
    </row>
    <row r="9386" spans="2:2" x14ac:dyDescent="0.25">
      <c r="B9386" s="1"/>
    </row>
    <row r="9387" spans="2:2" x14ac:dyDescent="0.25">
      <c r="B9387" s="1"/>
    </row>
    <row r="9388" spans="2:2" x14ac:dyDescent="0.25">
      <c r="B9388" s="1"/>
    </row>
    <row r="9389" spans="2:2" x14ac:dyDescent="0.25">
      <c r="B9389" s="1"/>
    </row>
    <row r="9390" spans="2:2" x14ac:dyDescent="0.25">
      <c r="B9390" s="1"/>
    </row>
    <row r="9391" spans="2:2" x14ac:dyDescent="0.25">
      <c r="B9391" s="1"/>
    </row>
    <row r="9392" spans="2:2" x14ac:dyDescent="0.25">
      <c r="B9392" s="1"/>
    </row>
    <row r="9393" spans="2:2" x14ac:dyDescent="0.25">
      <c r="B9393" s="1"/>
    </row>
    <row r="9394" spans="2:2" x14ac:dyDescent="0.25">
      <c r="B9394" s="1"/>
    </row>
    <row r="9395" spans="2:2" x14ac:dyDescent="0.25">
      <c r="B9395" s="1"/>
    </row>
    <row r="9396" spans="2:2" x14ac:dyDescent="0.25">
      <c r="B9396" s="1"/>
    </row>
    <row r="9397" spans="2:2" x14ac:dyDescent="0.25">
      <c r="B9397" s="1"/>
    </row>
    <row r="9398" spans="2:2" x14ac:dyDescent="0.25">
      <c r="B9398" s="1"/>
    </row>
    <row r="9399" spans="2:2" x14ac:dyDescent="0.25">
      <c r="B9399" s="1"/>
    </row>
    <row r="9400" spans="2:2" x14ac:dyDescent="0.25">
      <c r="B9400" s="1"/>
    </row>
    <row r="9401" spans="2:2" x14ac:dyDescent="0.25">
      <c r="B9401" s="1"/>
    </row>
    <row r="9402" spans="2:2" x14ac:dyDescent="0.25">
      <c r="B9402" s="1"/>
    </row>
    <row r="9403" spans="2:2" x14ac:dyDescent="0.25">
      <c r="B9403" s="1"/>
    </row>
    <row r="9404" spans="2:2" x14ac:dyDescent="0.25">
      <c r="B9404" s="1"/>
    </row>
    <row r="9405" spans="2:2" x14ac:dyDescent="0.25">
      <c r="B9405" s="1"/>
    </row>
    <row r="9406" spans="2:2" x14ac:dyDescent="0.25">
      <c r="B9406" s="1"/>
    </row>
    <row r="9407" spans="2:2" x14ac:dyDescent="0.25">
      <c r="B9407" s="1"/>
    </row>
    <row r="9408" spans="2:2" x14ac:dyDescent="0.25">
      <c r="B9408" s="1"/>
    </row>
    <row r="9409" spans="2:2" x14ac:dyDescent="0.25">
      <c r="B9409" s="1"/>
    </row>
    <row r="9410" spans="2:2" x14ac:dyDescent="0.25">
      <c r="B9410" s="1"/>
    </row>
    <row r="9411" spans="2:2" x14ac:dyDescent="0.25">
      <c r="B9411" s="1"/>
    </row>
    <row r="9412" spans="2:2" x14ac:dyDescent="0.25">
      <c r="B9412" s="1"/>
    </row>
    <row r="9413" spans="2:2" x14ac:dyDescent="0.25">
      <c r="B9413" s="1"/>
    </row>
    <row r="9414" spans="2:2" x14ac:dyDescent="0.25">
      <c r="B9414" s="1"/>
    </row>
    <row r="9415" spans="2:2" x14ac:dyDescent="0.25">
      <c r="B9415" s="1"/>
    </row>
    <row r="9416" spans="2:2" x14ac:dyDescent="0.25">
      <c r="B9416" s="1"/>
    </row>
    <row r="9417" spans="2:2" x14ac:dyDescent="0.25">
      <c r="B9417" s="1"/>
    </row>
    <row r="9418" spans="2:2" x14ac:dyDescent="0.25">
      <c r="B9418" s="1"/>
    </row>
    <row r="9419" spans="2:2" x14ac:dyDescent="0.25">
      <c r="B9419" s="1"/>
    </row>
    <row r="9420" spans="2:2" x14ac:dyDescent="0.25">
      <c r="B9420" s="1"/>
    </row>
    <row r="9421" spans="2:2" x14ac:dyDescent="0.25">
      <c r="B9421" s="1"/>
    </row>
    <row r="9422" spans="2:2" x14ac:dyDescent="0.25">
      <c r="B9422" s="1"/>
    </row>
    <row r="9423" spans="2:2" x14ac:dyDescent="0.25">
      <c r="B9423" s="1"/>
    </row>
    <row r="9424" spans="2:2" x14ac:dyDescent="0.25">
      <c r="B9424" s="1"/>
    </row>
    <row r="9425" spans="2:2" x14ac:dyDescent="0.25">
      <c r="B9425" s="1"/>
    </row>
    <row r="9426" spans="2:2" x14ac:dyDescent="0.25">
      <c r="B9426" s="1"/>
    </row>
    <row r="9427" spans="2:2" x14ac:dyDescent="0.25">
      <c r="B9427" s="1"/>
    </row>
    <row r="9428" spans="2:2" x14ac:dyDescent="0.25">
      <c r="B9428" s="1"/>
    </row>
    <row r="9429" spans="2:2" x14ac:dyDescent="0.25">
      <c r="B9429" s="1"/>
    </row>
    <row r="9430" spans="2:2" x14ac:dyDescent="0.25">
      <c r="B9430" s="1"/>
    </row>
    <row r="9431" spans="2:2" x14ac:dyDescent="0.25">
      <c r="B9431" s="1"/>
    </row>
    <row r="9432" spans="2:2" x14ac:dyDescent="0.25">
      <c r="B9432" s="1"/>
    </row>
    <row r="9433" spans="2:2" x14ac:dyDescent="0.25">
      <c r="B9433" s="1"/>
    </row>
    <row r="9434" spans="2:2" x14ac:dyDescent="0.25">
      <c r="B9434" s="1"/>
    </row>
    <row r="9435" spans="2:2" x14ac:dyDescent="0.25">
      <c r="B9435" s="1"/>
    </row>
    <row r="9436" spans="2:2" x14ac:dyDescent="0.25">
      <c r="B9436" s="1"/>
    </row>
    <row r="9437" spans="2:2" x14ac:dyDescent="0.25">
      <c r="B9437" s="1"/>
    </row>
    <row r="9438" spans="2:2" x14ac:dyDescent="0.25">
      <c r="B9438" s="1"/>
    </row>
    <row r="9439" spans="2:2" x14ac:dyDescent="0.25">
      <c r="B9439" s="1"/>
    </row>
    <row r="9440" spans="2:2" x14ac:dyDescent="0.25">
      <c r="B9440" s="1"/>
    </row>
    <row r="9441" spans="2:2" x14ac:dyDescent="0.25">
      <c r="B9441" s="1"/>
    </row>
    <row r="9442" spans="2:2" x14ac:dyDescent="0.25">
      <c r="B9442" s="1"/>
    </row>
    <row r="9443" spans="2:2" x14ac:dyDescent="0.25">
      <c r="B9443" s="1"/>
    </row>
    <row r="9444" spans="2:2" x14ac:dyDescent="0.25">
      <c r="B9444" s="1"/>
    </row>
    <row r="9445" spans="2:2" x14ac:dyDescent="0.25">
      <c r="B9445" s="1"/>
    </row>
    <row r="9446" spans="2:2" x14ac:dyDescent="0.25">
      <c r="B9446" s="1"/>
    </row>
    <row r="9447" spans="2:2" x14ac:dyDescent="0.25">
      <c r="B9447" s="1"/>
    </row>
    <row r="9448" spans="2:2" x14ac:dyDescent="0.25">
      <c r="B9448" s="1"/>
    </row>
    <row r="9449" spans="2:2" x14ac:dyDescent="0.25">
      <c r="B9449" s="1"/>
    </row>
    <row r="9450" spans="2:2" x14ac:dyDescent="0.25">
      <c r="B9450" s="1"/>
    </row>
    <row r="9451" spans="2:2" x14ac:dyDescent="0.25">
      <c r="B9451" s="1"/>
    </row>
    <row r="9452" spans="2:2" x14ac:dyDescent="0.25">
      <c r="B9452" s="1"/>
    </row>
    <row r="9453" spans="2:2" x14ac:dyDescent="0.25">
      <c r="B9453" s="1"/>
    </row>
    <row r="9454" spans="2:2" x14ac:dyDescent="0.25">
      <c r="B9454" s="1"/>
    </row>
    <row r="9455" spans="2:2" x14ac:dyDescent="0.25">
      <c r="B9455" s="1"/>
    </row>
    <row r="9456" spans="2:2" x14ac:dyDescent="0.25">
      <c r="B9456" s="1"/>
    </row>
    <row r="9457" spans="2:2" x14ac:dyDescent="0.25">
      <c r="B9457" s="1"/>
    </row>
    <row r="9458" spans="2:2" x14ac:dyDescent="0.25">
      <c r="B9458" s="1"/>
    </row>
    <row r="9459" spans="2:2" x14ac:dyDescent="0.25">
      <c r="B9459" s="1"/>
    </row>
    <row r="9460" spans="2:2" x14ac:dyDescent="0.25">
      <c r="B9460" s="1"/>
    </row>
    <row r="9461" spans="2:2" x14ac:dyDescent="0.25">
      <c r="B9461" s="1"/>
    </row>
    <row r="9462" spans="2:2" x14ac:dyDescent="0.25">
      <c r="B9462" s="1"/>
    </row>
    <row r="9463" spans="2:2" x14ac:dyDescent="0.25">
      <c r="B9463" s="1"/>
    </row>
    <row r="9464" spans="2:2" x14ac:dyDescent="0.25">
      <c r="B9464" s="1"/>
    </row>
    <row r="9465" spans="2:2" x14ac:dyDescent="0.25">
      <c r="B9465" s="1"/>
    </row>
    <row r="9466" spans="2:2" x14ac:dyDescent="0.25">
      <c r="B9466" s="1"/>
    </row>
    <row r="9467" spans="2:2" x14ac:dyDescent="0.25">
      <c r="B9467" s="1"/>
    </row>
    <row r="9468" spans="2:2" x14ac:dyDescent="0.25">
      <c r="B9468" s="1"/>
    </row>
    <row r="9469" spans="2:2" x14ac:dyDescent="0.25">
      <c r="B9469" s="1"/>
    </row>
    <row r="9470" spans="2:2" x14ac:dyDescent="0.25">
      <c r="B9470" s="1"/>
    </row>
    <row r="9471" spans="2:2" x14ac:dyDescent="0.25">
      <c r="B9471" s="1"/>
    </row>
    <row r="9472" spans="2:2" x14ac:dyDescent="0.25">
      <c r="B9472" s="1"/>
    </row>
    <row r="9473" spans="2:2" x14ac:dyDescent="0.25">
      <c r="B9473" s="1"/>
    </row>
    <row r="9474" spans="2:2" x14ac:dyDescent="0.25">
      <c r="B9474" s="1"/>
    </row>
    <row r="9475" spans="2:2" x14ac:dyDescent="0.25">
      <c r="B9475" s="1"/>
    </row>
    <row r="9476" spans="2:2" x14ac:dyDescent="0.25">
      <c r="B9476" s="1"/>
    </row>
    <row r="9477" spans="2:2" x14ac:dyDescent="0.25">
      <c r="B9477" s="1"/>
    </row>
    <row r="9478" spans="2:2" x14ac:dyDescent="0.25">
      <c r="B9478" s="1"/>
    </row>
    <row r="9479" spans="2:2" x14ac:dyDescent="0.25">
      <c r="B9479" s="1"/>
    </row>
    <row r="9480" spans="2:2" x14ac:dyDescent="0.25">
      <c r="B9480" s="1"/>
    </row>
    <row r="9481" spans="2:2" x14ac:dyDescent="0.25">
      <c r="B9481" s="1"/>
    </row>
    <row r="9482" spans="2:2" x14ac:dyDescent="0.25">
      <c r="B9482" s="1"/>
    </row>
    <row r="9483" spans="2:2" x14ac:dyDescent="0.25">
      <c r="B9483" s="1"/>
    </row>
    <row r="9484" spans="2:2" x14ac:dyDescent="0.25">
      <c r="B9484" s="1"/>
    </row>
    <row r="9485" spans="2:2" x14ac:dyDescent="0.25">
      <c r="B9485" s="1"/>
    </row>
    <row r="9486" spans="2:2" x14ac:dyDescent="0.25">
      <c r="B9486" s="1"/>
    </row>
    <row r="9487" spans="2:2" x14ac:dyDescent="0.25">
      <c r="B9487" s="1"/>
    </row>
    <row r="9488" spans="2:2" x14ac:dyDescent="0.25">
      <c r="B9488" s="1"/>
    </row>
    <row r="9489" spans="2:2" x14ac:dyDescent="0.25">
      <c r="B9489" s="1"/>
    </row>
    <row r="9490" spans="2:2" x14ac:dyDescent="0.25">
      <c r="B9490" s="1"/>
    </row>
    <row r="9491" spans="2:2" x14ac:dyDescent="0.25">
      <c r="B9491" s="1"/>
    </row>
    <row r="9492" spans="2:2" x14ac:dyDescent="0.25">
      <c r="B9492" s="1"/>
    </row>
    <row r="9493" spans="2:2" x14ac:dyDescent="0.25">
      <c r="B9493" s="1"/>
    </row>
    <row r="9494" spans="2:2" x14ac:dyDescent="0.25">
      <c r="B9494" s="1"/>
    </row>
    <row r="9495" spans="2:2" x14ac:dyDescent="0.25">
      <c r="B9495" s="1"/>
    </row>
    <row r="9496" spans="2:2" x14ac:dyDescent="0.25">
      <c r="B9496" s="1"/>
    </row>
    <row r="9497" spans="2:2" x14ac:dyDescent="0.25">
      <c r="B9497" s="1"/>
    </row>
    <row r="9498" spans="2:2" x14ac:dyDescent="0.25">
      <c r="B9498" s="1"/>
    </row>
    <row r="9499" spans="2:2" x14ac:dyDescent="0.25">
      <c r="B9499" s="1"/>
    </row>
    <row r="9500" spans="2:2" x14ac:dyDescent="0.25">
      <c r="B9500" s="1"/>
    </row>
    <row r="9501" spans="2:2" x14ac:dyDescent="0.25">
      <c r="B9501" s="1"/>
    </row>
    <row r="9502" spans="2:2" x14ac:dyDescent="0.25">
      <c r="B9502" s="1"/>
    </row>
    <row r="9503" spans="2:2" x14ac:dyDescent="0.25">
      <c r="B9503" s="1"/>
    </row>
    <row r="9504" spans="2:2" x14ac:dyDescent="0.25">
      <c r="B9504" s="1"/>
    </row>
    <row r="9505" spans="2:2" x14ac:dyDescent="0.25">
      <c r="B9505" s="1"/>
    </row>
    <row r="9506" spans="2:2" x14ac:dyDescent="0.25">
      <c r="B9506" s="1"/>
    </row>
    <row r="9507" spans="2:2" x14ac:dyDescent="0.25">
      <c r="B9507" s="1"/>
    </row>
    <row r="9508" spans="2:2" x14ac:dyDescent="0.25">
      <c r="B9508" s="1"/>
    </row>
    <row r="9509" spans="2:2" x14ac:dyDescent="0.25">
      <c r="B9509" s="1"/>
    </row>
    <row r="9510" spans="2:2" x14ac:dyDescent="0.25">
      <c r="B9510" s="1"/>
    </row>
    <row r="9511" spans="2:2" x14ac:dyDescent="0.25">
      <c r="B9511" s="1"/>
    </row>
    <row r="9512" spans="2:2" x14ac:dyDescent="0.25">
      <c r="B9512" s="1"/>
    </row>
    <row r="9513" spans="2:2" x14ac:dyDescent="0.25">
      <c r="B9513" s="1"/>
    </row>
    <row r="9514" spans="2:2" x14ac:dyDescent="0.25">
      <c r="B9514" s="1"/>
    </row>
    <row r="9515" spans="2:2" x14ac:dyDescent="0.25">
      <c r="B9515" s="1"/>
    </row>
    <row r="9516" spans="2:2" x14ac:dyDescent="0.25">
      <c r="B9516" s="1"/>
    </row>
    <row r="9517" spans="2:2" x14ac:dyDescent="0.25">
      <c r="B9517" s="1"/>
    </row>
    <row r="9518" spans="2:2" x14ac:dyDescent="0.25">
      <c r="B9518" s="1"/>
    </row>
    <row r="9519" spans="2:2" x14ac:dyDescent="0.25">
      <c r="B9519" s="1"/>
    </row>
    <row r="9520" spans="2:2" x14ac:dyDescent="0.25">
      <c r="B9520" s="1"/>
    </row>
    <row r="9521" spans="2:2" x14ac:dyDescent="0.25">
      <c r="B9521" s="1"/>
    </row>
    <row r="9522" spans="2:2" x14ac:dyDescent="0.25">
      <c r="B9522" s="1"/>
    </row>
    <row r="9523" spans="2:2" x14ac:dyDescent="0.25">
      <c r="B9523" s="1"/>
    </row>
    <row r="9524" spans="2:2" x14ac:dyDescent="0.25">
      <c r="B9524" s="1"/>
    </row>
    <row r="9525" spans="2:2" x14ac:dyDescent="0.25">
      <c r="B9525" s="1"/>
    </row>
    <row r="9526" spans="2:2" x14ac:dyDescent="0.25">
      <c r="B9526" s="1"/>
    </row>
    <row r="9527" spans="2:2" x14ac:dyDescent="0.25">
      <c r="B9527" s="1"/>
    </row>
    <row r="9528" spans="2:2" x14ac:dyDescent="0.25">
      <c r="B9528" s="1"/>
    </row>
    <row r="9529" spans="2:2" x14ac:dyDescent="0.25">
      <c r="B9529" s="1"/>
    </row>
    <row r="9530" spans="2:2" x14ac:dyDescent="0.25">
      <c r="B9530" s="1"/>
    </row>
    <row r="9531" spans="2:2" x14ac:dyDescent="0.25">
      <c r="B9531" s="1"/>
    </row>
    <row r="9532" spans="2:2" x14ac:dyDescent="0.25">
      <c r="B9532" s="1"/>
    </row>
    <row r="9533" spans="2:2" x14ac:dyDescent="0.25">
      <c r="B9533" s="1"/>
    </row>
    <row r="9534" spans="2:2" x14ac:dyDescent="0.25">
      <c r="B9534" s="1"/>
    </row>
    <row r="9535" spans="2:2" x14ac:dyDescent="0.25">
      <c r="B9535" s="1"/>
    </row>
    <row r="9536" spans="2:2" x14ac:dyDescent="0.25">
      <c r="B9536" s="1"/>
    </row>
    <row r="9537" spans="2:2" x14ac:dyDescent="0.25">
      <c r="B9537" s="1"/>
    </row>
    <row r="9538" spans="2:2" x14ac:dyDescent="0.25">
      <c r="B9538" s="1"/>
    </row>
    <row r="9539" spans="2:2" x14ac:dyDescent="0.25">
      <c r="B9539" s="1"/>
    </row>
    <row r="9540" spans="2:2" x14ac:dyDescent="0.25">
      <c r="B9540" s="1"/>
    </row>
    <row r="9541" spans="2:2" x14ac:dyDescent="0.25">
      <c r="B9541" s="1"/>
    </row>
    <row r="9542" spans="2:2" x14ac:dyDescent="0.25">
      <c r="B9542" s="1"/>
    </row>
    <row r="9543" spans="2:2" x14ac:dyDescent="0.25">
      <c r="B9543" s="1"/>
    </row>
    <row r="9544" spans="2:2" x14ac:dyDescent="0.25">
      <c r="B9544" s="1"/>
    </row>
    <row r="9545" spans="2:2" x14ac:dyDescent="0.25">
      <c r="B9545" s="1"/>
    </row>
    <row r="9546" spans="2:2" x14ac:dyDescent="0.25">
      <c r="B9546" s="1"/>
    </row>
    <row r="9547" spans="2:2" x14ac:dyDescent="0.25">
      <c r="B9547" s="1"/>
    </row>
    <row r="9548" spans="2:2" x14ac:dyDescent="0.25">
      <c r="B9548" s="1"/>
    </row>
    <row r="9549" spans="2:2" x14ac:dyDescent="0.25">
      <c r="B9549" s="1"/>
    </row>
    <row r="9550" spans="2:2" x14ac:dyDescent="0.25">
      <c r="B9550" s="1"/>
    </row>
    <row r="9551" spans="2:2" x14ac:dyDescent="0.25">
      <c r="B9551" s="1"/>
    </row>
    <row r="9552" spans="2:2" x14ac:dyDescent="0.25">
      <c r="B9552" s="1"/>
    </row>
    <row r="9553" spans="2:2" x14ac:dyDescent="0.25">
      <c r="B9553" s="1"/>
    </row>
    <row r="9554" spans="2:2" x14ac:dyDescent="0.25">
      <c r="B9554" s="1"/>
    </row>
    <row r="9555" spans="2:2" x14ac:dyDescent="0.25">
      <c r="B9555" s="1"/>
    </row>
    <row r="9556" spans="2:2" x14ac:dyDescent="0.25">
      <c r="B9556" s="1"/>
    </row>
    <row r="9557" spans="2:2" x14ac:dyDescent="0.25">
      <c r="B9557" s="1"/>
    </row>
    <row r="9558" spans="2:2" x14ac:dyDescent="0.25">
      <c r="B9558" s="1"/>
    </row>
    <row r="9559" spans="2:2" x14ac:dyDescent="0.25">
      <c r="B9559" s="1"/>
    </row>
    <row r="9560" spans="2:2" x14ac:dyDescent="0.25">
      <c r="B9560" s="1"/>
    </row>
    <row r="9561" spans="2:2" x14ac:dyDescent="0.25">
      <c r="B9561" s="1"/>
    </row>
    <row r="9562" spans="2:2" x14ac:dyDescent="0.25">
      <c r="B9562" s="1"/>
    </row>
    <row r="9563" spans="2:2" x14ac:dyDescent="0.25">
      <c r="B9563" s="1"/>
    </row>
    <row r="9564" spans="2:2" x14ac:dyDescent="0.25">
      <c r="B9564" s="1"/>
    </row>
    <row r="9565" spans="2:2" x14ac:dyDescent="0.25">
      <c r="B9565" s="1"/>
    </row>
    <row r="9566" spans="2:2" x14ac:dyDescent="0.25">
      <c r="B9566" s="1"/>
    </row>
    <row r="9567" spans="2:2" x14ac:dyDescent="0.25">
      <c r="B9567" s="1"/>
    </row>
    <row r="9568" spans="2:2" x14ac:dyDescent="0.25">
      <c r="B9568" s="1"/>
    </row>
    <row r="9569" spans="2:2" x14ac:dyDescent="0.25">
      <c r="B9569" s="1"/>
    </row>
    <row r="9570" spans="2:2" x14ac:dyDescent="0.25">
      <c r="B9570" s="1"/>
    </row>
    <row r="9571" spans="2:2" x14ac:dyDescent="0.25">
      <c r="B9571" s="1"/>
    </row>
    <row r="9572" spans="2:2" x14ac:dyDescent="0.25">
      <c r="B9572" s="1"/>
    </row>
    <row r="9573" spans="2:2" x14ac:dyDescent="0.25">
      <c r="B9573" s="1"/>
    </row>
    <row r="9574" spans="2:2" x14ac:dyDescent="0.25">
      <c r="B9574" s="1"/>
    </row>
    <row r="9575" spans="2:2" x14ac:dyDescent="0.25">
      <c r="B9575" s="1"/>
    </row>
    <row r="9576" spans="2:2" x14ac:dyDescent="0.25">
      <c r="B9576" s="1"/>
    </row>
    <row r="9577" spans="2:2" x14ac:dyDescent="0.25">
      <c r="B9577" s="1"/>
    </row>
    <row r="9578" spans="2:2" x14ac:dyDescent="0.25">
      <c r="B9578" s="1"/>
    </row>
    <row r="9579" spans="2:2" x14ac:dyDescent="0.25">
      <c r="B9579" s="1"/>
    </row>
    <row r="9580" spans="2:2" x14ac:dyDescent="0.25">
      <c r="B9580" s="1"/>
    </row>
    <row r="9581" spans="2:2" x14ac:dyDescent="0.25">
      <c r="B9581" s="1"/>
    </row>
    <row r="9582" spans="2:2" x14ac:dyDescent="0.25">
      <c r="B9582" s="1"/>
    </row>
    <row r="9583" spans="2:2" x14ac:dyDescent="0.25">
      <c r="B9583" s="1"/>
    </row>
    <row r="9584" spans="2:2" x14ac:dyDescent="0.25">
      <c r="B9584" s="1"/>
    </row>
    <row r="9585" spans="2:2" x14ac:dyDescent="0.25">
      <c r="B9585" s="1"/>
    </row>
    <row r="9586" spans="2:2" x14ac:dyDescent="0.25">
      <c r="B9586" s="1"/>
    </row>
    <row r="9587" spans="2:2" x14ac:dyDescent="0.25">
      <c r="B9587" s="1"/>
    </row>
    <row r="9588" spans="2:2" x14ac:dyDescent="0.25">
      <c r="B9588" s="1"/>
    </row>
    <row r="9589" spans="2:2" x14ac:dyDescent="0.25">
      <c r="B9589" s="1"/>
    </row>
    <row r="9590" spans="2:2" x14ac:dyDescent="0.25">
      <c r="B9590" s="1"/>
    </row>
    <row r="9591" spans="2:2" x14ac:dyDescent="0.25">
      <c r="B9591" s="1"/>
    </row>
    <row r="9592" spans="2:2" x14ac:dyDescent="0.25">
      <c r="B9592" s="1"/>
    </row>
    <row r="9593" spans="2:2" x14ac:dyDescent="0.25">
      <c r="B9593" s="1"/>
    </row>
    <row r="9594" spans="2:2" x14ac:dyDescent="0.25">
      <c r="B9594" s="1"/>
    </row>
    <row r="9595" spans="2:2" x14ac:dyDescent="0.25">
      <c r="B9595" s="1"/>
    </row>
    <row r="9596" spans="2:2" x14ac:dyDescent="0.25">
      <c r="B9596" s="1"/>
    </row>
    <row r="9597" spans="2:2" x14ac:dyDescent="0.25">
      <c r="B9597" s="1"/>
    </row>
    <row r="9598" spans="2:2" x14ac:dyDescent="0.25">
      <c r="B9598" s="1"/>
    </row>
    <row r="9599" spans="2:2" x14ac:dyDescent="0.25">
      <c r="B9599" s="1"/>
    </row>
    <row r="9600" spans="2:2" x14ac:dyDescent="0.25">
      <c r="B9600" s="1"/>
    </row>
    <row r="9601" spans="2:2" x14ac:dyDescent="0.25">
      <c r="B9601" s="1"/>
    </row>
    <row r="9602" spans="2:2" x14ac:dyDescent="0.25">
      <c r="B9602" s="1"/>
    </row>
    <row r="9603" spans="2:2" x14ac:dyDescent="0.25">
      <c r="B9603" s="1"/>
    </row>
    <row r="9604" spans="2:2" x14ac:dyDescent="0.25">
      <c r="B9604" s="1"/>
    </row>
    <row r="9605" spans="2:2" x14ac:dyDescent="0.25">
      <c r="B9605" s="1"/>
    </row>
    <row r="9606" spans="2:2" x14ac:dyDescent="0.25">
      <c r="B9606" s="1"/>
    </row>
    <row r="9607" spans="2:2" x14ac:dyDescent="0.25">
      <c r="B9607" s="1"/>
    </row>
    <row r="9608" spans="2:2" x14ac:dyDescent="0.25">
      <c r="B9608" s="1"/>
    </row>
    <row r="9609" spans="2:2" x14ac:dyDescent="0.25">
      <c r="B9609" s="1"/>
    </row>
    <row r="9610" spans="2:2" x14ac:dyDescent="0.25">
      <c r="B9610" s="1"/>
    </row>
    <row r="9611" spans="2:2" x14ac:dyDescent="0.25">
      <c r="B9611" s="1"/>
    </row>
    <row r="9612" spans="2:2" x14ac:dyDescent="0.25">
      <c r="B9612" s="1"/>
    </row>
    <row r="9613" spans="2:2" x14ac:dyDescent="0.25">
      <c r="B9613" s="1"/>
    </row>
    <row r="9614" spans="2:2" x14ac:dyDescent="0.25">
      <c r="B9614" s="1"/>
    </row>
    <row r="9615" spans="2:2" x14ac:dyDescent="0.25">
      <c r="B9615" s="1"/>
    </row>
    <row r="9616" spans="2:2" x14ac:dyDescent="0.25">
      <c r="B9616" s="1"/>
    </row>
    <row r="9617" spans="2:2" x14ac:dyDescent="0.25">
      <c r="B9617" s="1"/>
    </row>
    <row r="9618" spans="2:2" x14ac:dyDescent="0.25">
      <c r="B9618" s="1"/>
    </row>
    <row r="9619" spans="2:2" x14ac:dyDescent="0.25">
      <c r="B9619" s="1"/>
    </row>
    <row r="9620" spans="2:2" x14ac:dyDescent="0.25">
      <c r="B9620" s="1"/>
    </row>
    <row r="9621" spans="2:2" x14ac:dyDescent="0.25">
      <c r="B9621" s="1"/>
    </row>
    <row r="9622" spans="2:2" x14ac:dyDescent="0.25">
      <c r="B9622" s="1"/>
    </row>
    <row r="9623" spans="2:2" x14ac:dyDescent="0.25">
      <c r="B9623" s="1"/>
    </row>
    <row r="9624" spans="2:2" x14ac:dyDescent="0.25">
      <c r="B9624" s="1"/>
    </row>
    <row r="9625" spans="2:2" x14ac:dyDescent="0.25">
      <c r="B9625" s="1"/>
    </row>
    <row r="9626" spans="2:2" x14ac:dyDescent="0.25">
      <c r="B9626" s="1"/>
    </row>
    <row r="9627" spans="2:2" x14ac:dyDescent="0.25">
      <c r="B9627" s="1"/>
    </row>
    <row r="9628" spans="2:2" x14ac:dyDescent="0.25">
      <c r="B9628" s="1"/>
    </row>
    <row r="9629" spans="2:2" x14ac:dyDescent="0.25">
      <c r="B9629" s="1"/>
    </row>
    <row r="9630" spans="2:2" x14ac:dyDescent="0.25">
      <c r="B9630" s="1"/>
    </row>
    <row r="9631" spans="2:2" x14ac:dyDescent="0.25">
      <c r="B9631" s="1"/>
    </row>
    <row r="9632" spans="2:2" x14ac:dyDescent="0.25">
      <c r="B9632" s="1"/>
    </row>
    <row r="9633" spans="2:2" x14ac:dyDescent="0.25">
      <c r="B9633" s="1"/>
    </row>
    <row r="9634" spans="2:2" x14ac:dyDescent="0.25">
      <c r="B9634" s="1"/>
    </row>
    <row r="9635" spans="2:2" x14ac:dyDescent="0.25">
      <c r="B9635" s="1"/>
    </row>
    <row r="9636" spans="2:2" x14ac:dyDescent="0.25">
      <c r="B9636" s="1"/>
    </row>
    <row r="9637" spans="2:2" x14ac:dyDescent="0.25">
      <c r="B9637" s="1"/>
    </row>
    <row r="9638" spans="2:2" x14ac:dyDescent="0.25">
      <c r="B9638" s="1"/>
    </row>
    <row r="9639" spans="2:2" x14ac:dyDescent="0.25">
      <c r="B9639" s="1"/>
    </row>
    <row r="9640" spans="2:2" x14ac:dyDescent="0.25">
      <c r="B9640" s="1"/>
    </row>
    <row r="9641" spans="2:2" x14ac:dyDescent="0.25">
      <c r="B9641" s="1"/>
    </row>
    <row r="9642" spans="2:2" x14ac:dyDescent="0.25">
      <c r="B9642" s="1"/>
    </row>
    <row r="9643" spans="2:2" x14ac:dyDescent="0.25">
      <c r="B9643" s="1"/>
    </row>
    <row r="9644" spans="2:2" x14ac:dyDescent="0.25">
      <c r="B9644" s="1"/>
    </row>
    <row r="9645" spans="2:2" x14ac:dyDescent="0.25">
      <c r="B9645" s="1"/>
    </row>
    <row r="9646" spans="2:2" x14ac:dyDescent="0.25">
      <c r="B9646" s="1"/>
    </row>
    <row r="9647" spans="2:2" x14ac:dyDescent="0.25">
      <c r="B9647" s="1"/>
    </row>
    <row r="9648" spans="2:2" x14ac:dyDescent="0.25">
      <c r="B9648" s="1"/>
    </row>
    <row r="9649" spans="2:2" x14ac:dyDescent="0.25">
      <c r="B9649" s="1"/>
    </row>
    <row r="9650" spans="2:2" x14ac:dyDescent="0.25">
      <c r="B9650" s="1"/>
    </row>
    <row r="9651" spans="2:2" x14ac:dyDescent="0.25">
      <c r="B9651" s="1"/>
    </row>
    <row r="9652" spans="2:2" x14ac:dyDescent="0.25">
      <c r="B9652" s="1"/>
    </row>
    <row r="9653" spans="2:2" x14ac:dyDescent="0.25">
      <c r="B9653" s="1"/>
    </row>
    <row r="9654" spans="2:2" x14ac:dyDescent="0.25">
      <c r="B9654" s="1"/>
    </row>
    <row r="9655" spans="2:2" x14ac:dyDescent="0.25">
      <c r="B9655" s="1"/>
    </row>
    <row r="9656" spans="2:2" x14ac:dyDescent="0.25">
      <c r="B9656" s="1"/>
    </row>
    <row r="9657" spans="2:2" x14ac:dyDescent="0.25">
      <c r="B9657" s="1"/>
    </row>
    <row r="9658" spans="2:2" x14ac:dyDescent="0.25">
      <c r="B9658" s="1"/>
    </row>
    <row r="9659" spans="2:2" x14ac:dyDescent="0.25">
      <c r="B9659" s="1"/>
    </row>
    <row r="9660" spans="2:2" x14ac:dyDescent="0.25">
      <c r="B9660" s="1"/>
    </row>
    <row r="9661" spans="2:2" x14ac:dyDescent="0.25">
      <c r="B9661" s="1"/>
    </row>
    <row r="9662" spans="2:2" x14ac:dyDescent="0.25">
      <c r="B9662" s="1"/>
    </row>
    <row r="9663" spans="2:2" x14ac:dyDescent="0.25">
      <c r="B9663" s="1"/>
    </row>
    <row r="9664" spans="2:2" x14ac:dyDescent="0.25">
      <c r="B9664" s="1"/>
    </row>
    <row r="9665" spans="2:2" x14ac:dyDescent="0.25">
      <c r="B9665" s="1"/>
    </row>
    <row r="9666" spans="2:2" x14ac:dyDescent="0.25">
      <c r="B9666" s="1"/>
    </row>
    <row r="9667" spans="2:2" x14ac:dyDescent="0.25">
      <c r="B9667" s="1"/>
    </row>
    <row r="9668" spans="2:2" x14ac:dyDescent="0.25">
      <c r="B9668" s="1"/>
    </row>
    <row r="9669" spans="2:2" x14ac:dyDescent="0.25">
      <c r="B9669" s="1"/>
    </row>
    <row r="9670" spans="2:2" x14ac:dyDescent="0.25">
      <c r="B9670" s="1"/>
    </row>
    <row r="9671" spans="2:2" x14ac:dyDescent="0.25">
      <c r="B9671" s="1"/>
    </row>
    <row r="9672" spans="2:2" x14ac:dyDescent="0.25">
      <c r="B9672" s="1"/>
    </row>
    <row r="9673" spans="2:2" x14ac:dyDescent="0.25">
      <c r="B9673" s="1"/>
    </row>
    <row r="9674" spans="2:2" x14ac:dyDescent="0.25">
      <c r="B9674" s="1"/>
    </row>
    <row r="9675" spans="2:2" x14ac:dyDescent="0.25">
      <c r="B9675" s="1"/>
    </row>
    <row r="9676" spans="2:2" x14ac:dyDescent="0.25">
      <c r="B9676" s="1"/>
    </row>
    <row r="9677" spans="2:2" x14ac:dyDescent="0.25">
      <c r="B9677" s="1"/>
    </row>
    <row r="9678" spans="2:2" x14ac:dyDescent="0.25">
      <c r="B9678" s="1"/>
    </row>
    <row r="9679" spans="2:2" x14ac:dyDescent="0.25">
      <c r="B9679" s="1"/>
    </row>
    <row r="9680" spans="2:2" x14ac:dyDescent="0.25">
      <c r="B9680" s="1"/>
    </row>
    <row r="9681" spans="2:2" x14ac:dyDescent="0.25">
      <c r="B9681" s="1"/>
    </row>
    <row r="9682" spans="2:2" x14ac:dyDescent="0.25">
      <c r="B9682" s="1"/>
    </row>
    <row r="9683" spans="2:2" x14ac:dyDescent="0.25">
      <c r="B9683" s="1"/>
    </row>
    <row r="9684" spans="2:2" x14ac:dyDescent="0.25">
      <c r="B9684" s="1"/>
    </row>
    <row r="9685" spans="2:2" x14ac:dyDescent="0.25">
      <c r="B9685" s="1"/>
    </row>
    <row r="9686" spans="2:2" x14ac:dyDescent="0.25">
      <c r="B9686" s="1"/>
    </row>
    <row r="9687" spans="2:2" x14ac:dyDescent="0.25">
      <c r="B9687" s="1"/>
    </row>
    <row r="9688" spans="2:2" x14ac:dyDescent="0.25">
      <c r="B9688" s="1"/>
    </row>
    <row r="9689" spans="2:2" x14ac:dyDescent="0.25">
      <c r="B9689" s="1"/>
    </row>
    <row r="9690" spans="2:2" x14ac:dyDescent="0.25">
      <c r="B9690" s="1"/>
    </row>
    <row r="9691" spans="2:2" x14ac:dyDescent="0.25">
      <c r="B9691" s="1"/>
    </row>
    <row r="9692" spans="2:2" x14ac:dyDescent="0.25">
      <c r="B9692" s="1"/>
    </row>
    <row r="9693" spans="2:2" x14ac:dyDescent="0.25">
      <c r="B9693" s="1"/>
    </row>
    <row r="9694" spans="2:2" x14ac:dyDescent="0.25">
      <c r="B9694" s="1"/>
    </row>
    <row r="9695" spans="2:2" x14ac:dyDescent="0.25">
      <c r="B9695" s="1"/>
    </row>
    <row r="9696" spans="2:2" x14ac:dyDescent="0.25">
      <c r="B9696" s="1"/>
    </row>
    <row r="9697" spans="2:2" x14ac:dyDescent="0.25">
      <c r="B9697" s="1"/>
    </row>
    <row r="9698" spans="2:2" x14ac:dyDescent="0.25">
      <c r="B9698" s="1"/>
    </row>
    <row r="9699" spans="2:2" x14ac:dyDescent="0.25">
      <c r="B9699" s="1"/>
    </row>
    <row r="9700" spans="2:2" x14ac:dyDescent="0.25">
      <c r="B9700" s="1"/>
    </row>
    <row r="9701" spans="2:2" x14ac:dyDescent="0.25">
      <c r="B9701" s="1"/>
    </row>
    <row r="9702" spans="2:2" x14ac:dyDescent="0.25">
      <c r="B9702" s="1"/>
    </row>
    <row r="9703" spans="2:2" x14ac:dyDescent="0.25">
      <c r="B9703" s="1"/>
    </row>
    <row r="9704" spans="2:2" x14ac:dyDescent="0.25">
      <c r="B9704" s="1"/>
    </row>
    <row r="9705" spans="2:2" x14ac:dyDescent="0.25">
      <c r="B9705" s="1"/>
    </row>
    <row r="9706" spans="2:2" x14ac:dyDescent="0.25">
      <c r="B9706" s="1"/>
    </row>
    <row r="9707" spans="2:2" x14ac:dyDescent="0.25">
      <c r="B9707" s="1"/>
    </row>
    <row r="9708" spans="2:2" x14ac:dyDescent="0.25">
      <c r="B9708" s="1"/>
    </row>
    <row r="9709" spans="2:2" x14ac:dyDescent="0.25">
      <c r="B9709" s="1"/>
    </row>
    <row r="9710" spans="2:2" x14ac:dyDescent="0.25">
      <c r="B9710" s="1"/>
    </row>
    <row r="9711" spans="2:2" x14ac:dyDescent="0.25">
      <c r="B9711" s="1"/>
    </row>
    <row r="9712" spans="2:2" x14ac:dyDescent="0.25">
      <c r="B9712" s="1"/>
    </row>
    <row r="9713" spans="2:2" x14ac:dyDescent="0.25">
      <c r="B9713" s="1"/>
    </row>
    <row r="9714" spans="2:2" x14ac:dyDescent="0.25">
      <c r="B9714" s="1"/>
    </row>
    <row r="9715" spans="2:2" x14ac:dyDescent="0.25">
      <c r="B9715" s="1"/>
    </row>
    <row r="9716" spans="2:2" x14ac:dyDescent="0.25">
      <c r="B9716" s="1"/>
    </row>
    <row r="9717" spans="2:2" x14ac:dyDescent="0.25">
      <c r="B9717" s="1"/>
    </row>
    <row r="9718" spans="2:2" x14ac:dyDescent="0.25">
      <c r="B9718" s="1"/>
    </row>
    <row r="9719" spans="2:2" x14ac:dyDescent="0.25">
      <c r="B9719" s="1"/>
    </row>
    <row r="9720" spans="2:2" x14ac:dyDescent="0.25">
      <c r="B9720" s="1"/>
    </row>
    <row r="9721" spans="2:2" x14ac:dyDescent="0.25">
      <c r="B9721" s="1"/>
    </row>
    <row r="9722" spans="2:2" x14ac:dyDescent="0.25">
      <c r="B9722" s="1"/>
    </row>
    <row r="9723" spans="2:2" x14ac:dyDescent="0.25">
      <c r="B9723" s="1"/>
    </row>
    <row r="9724" spans="2:2" x14ac:dyDescent="0.25">
      <c r="B9724" s="1"/>
    </row>
    <row r="9725" spans="2:2" x14ac:dyDescent="0.25">
      <c r="B9725" s="1"/>
    </row>
    <row r="9726" spans="2:2" x14ac:dyDescent="0.25">
      <c r="B9726" s="1"/>
    </row>
    <row r="9727" spans="2:2" x14ac:dyDescent="0.25">
      <c r="B9727" s="1"/>
    </row>
    <row r="9728" spans="2:2" x14ac:dyDescent="0.25">
      <c r="B9728" s="1"/>
    </row>
    <row r="9729" spans="2:2" x14ac:dyDescent="0.25">
      <c r="B9729" s="1"/>
    </row>
    <row r="9730" spans="2:2" x14ac:dyDescent="0.25">
      <c r="B9730" s="1"/>
    </row>
    <row r="9731" spans="2:2" x14ac:dyDescent="0.25">
      <c r="B9731" s="1"/>
    </row>
    <row r="9732" spans="2:2" x14ac:dyDescent="0.25">
      <c r="B9732" s="1"/>
    </row>
    <row r="9733" spans="2:2" x14ac:dyDescent="0.25">
      <c r="B9733" s="1"/>
    </row>
    <row r="9734" spans="2:2" x14ac:dyDescent="0.25">
      <c r="B9734" s="1"/>
    </row>
    <row r="9735" spans="2:2" x14ac:dyDescent="0.25">
      <c r="B9735" s="1"/>
    </row>
    <row r="9736" spans="2:2" x14ac:dyDescent="0.25">
      <c r="B9736" s="1"/>
    </row>
    <row r="9737" spans="2:2" x14ac:dyDescent="0.25">
      <c r="B9737" s="1"/>
    </row>
    <row r="9738" spans="2:2" x14ac:dyDescent="0.25">
      <c r="B9738" s="1"/>
    </row>
    <row r="9739" spans="2:2" x14ac:dyDescent="0.25">
      <c r="B9739" s="1"/>
    </row>
    <row r="9740" spans="2:2" x14ac:dyDescent="0.25">
      <c r="B9740" s="1"/>
    </row>
    <row r="9741" spans="2:2" x14ac:dyDescent="0.25">
      <c r="B9741" s="1"/>
    </row>
    <row r="9742" spans="2:2" x14ac:dyDescent="0.25">
      <c r="B9742" s="1"/>
    </row>
    <row r="9743" spans="2:2" x14ac:dyDescent="0.25">
      <c r="B9743" s="1"/>
    </row>
    <row r="9744" spans="2:2" x14ac:dyDescent="0.25">
      <c r="B9744" s="1"/>
    </row>
    <row r="9745" spans="2:2" x14ac:dyDescent="0.25">
      <c r="B9745" s="1"/>
    </row>
    <row r="9746" spans="2:2" x14ac:dyDescent="0.25">
      <c r="B9746" s="1"/>
    </row>
    <row r="9747" spans="2:2" x14ac:dyDescent="0.25">
      <c r="B9747" s="1"/>
    </row>
    <row r="9748" spans="2:2" x14ac:dyDescent="0.25">
      <c r="B9748" s="1"/>
    </row>
    <row r="9749" spans="2:2" x14ac:dyDescent="0.25">
      <c r="B9749" s="1"/>
    </row>
    <row r="9750" spans="2:2" x14ac:dyDescent="0.25">
      <c r="B9750" s="1"/>
    </row>
    <row r="9751" spans="2:2" x14ac:dyDescent="0.25">
      <c r="B9751" s="1"/>
    </row>
    <row r="9752" spans="2:2" x14ac:dyDescent="0.25">
      <c r="B9752" s="1"/>
    </row>
    <row r="9753" spans="2:2" x14ac:dyDescent="0.25">
      <c r="B9753" s="1"/>
    </row>
    <row r="9754" spans="2:2" x14ac:dyDescent="0.25">
      <c r="B9754" s="1"/>
    </row>
    <row r="9755" spans="2:2" x14ac:dyDescent="0.25">
      <c r="B9755" s="1"/>
    </row>
    <row r="9756" spans="2:2" x14ac:dyDescent="0.25">
      <c r="B9756" s="1"/>
    </row>
    <row r="9757" spans="2:2" x14ac:dyDescent="0.25">
      <c r="B9757" s="1"/>
    </row>
    <row r="9758" spans="2:2" x14ac:dyDescent="0.25">
      <c r="B9758" s="1"/>
    </row>
    <row r="9759" spans="2:2" x14ac:dyDescent="0.25">
      <c r="B9759" s="1"/>
    </row>
    <row r="9760" spans="2:2" x14ac:dyDescent="0.25">
      <c r="B9760" s="1"/>
    </row>
    <row r="9761" spans="2:2" x14ac:dyDescent="0.25">
      <c r="B9761" s="1"/>
    </row>
    <row r="9762" spans="2:2" x14ac:dyDescent="0.25">
      <c r="B9762" s="1"/>
    </row>
    <row r="9763" spans="2:2" x14ac:dyDescent="0.25">
      <c r="B9763" s="1"/>
    </row>
    <row r="9764" spans="2:2" x14ac:dyDescent="0.25">
      <c r="B9764" s="1"/>
    </row>
    <row r="9765" spans="2:2" x14ac:dyDescent="0.25">
      <c r="B9765" s="1"/>
    </row>
    <row r="9766" spans="2:2" x14ac:dyDescent="0.25">
      <c r="B9766" s="1"/>
    </row>
    <row r="9767" spans="2:2" x14ac:dyDescent="0.25">
      <c r="B9767" s="1"/>
    </row>
    <row r="9768" spans="2:2" x14ac:dyDescent="0.25">
      <c r="B9768" s="1"/>
    </row>
    <row r="9769" spans="2:2" x14ac:dyDescent="0.25">
      <c r="B9769" s="1"/>
    </row>
    <row r="9770" spans="2:2" x14ac:dyDescent="0.25">
      <c r="B9770" s="1"/>
    </row>
    <row r="9771" spans="2:2" x14ac:dyDescent="0.25">
      <c r="B9771" s="1"/>
    </row>
    <row r="9772" spans="2:2" x14ac:dyDescent="0.25">
      <c r="B9772" s="1"/>
    </row>
    <row r="9773" spans="2:2" x14ac:dyDescent="0.25">
      <c r="B9773" s="1"/>
    </row>
    <row r="9774" spans="2:2" x14ac:dyDescent="0.25">
      <c r="B9774" s="1"/>
    </row>
    <row r="9775" spans="2:2" x14ac:dyDescent="0.25">
      <c r="B9775" s="1"/>
    </row>
    <row r="9776" spans="2:2" x14ac:dyDescent="0.25">
      <c r="B9776" s="1"/>
    </row>
    <row r="9777" spans="2:2" x14ac:dyDescent="0.25">
      <c r="B9777" s="1"/>
    </row>
    <row r="9778" spans="2:2" x14ac:dyDescent="0.25">
      <c r="B9778" s="1"/>
    </row>
    <row r="9779" spans="2:2" x14ac:dyDescent="0.25">
      <c r="B9779" s="1"/>
    </row>
    <row r="9780" spans="2:2" x14ac:dyDescent="0.25">
      <c r="B9780" s="1"/>
    </row>
    <row r="9781" spans="2:2" x14ac:dyDescent="0.25">
      <c r="B9781" s="1"/>
    </row>
    <row r="9782" spans="2:2" x14ac:dyDescent="0.25">
      <c r="B9782" s="1"/>
    </row>
    <row r="9783" spans="2:2" x14ac:dyDescent="0.25">
      <c r="B9783" s="1"/>
    </row>
    <row r="9784" spans="2:2" x14ac:dyDescent="0.25">
      <c r="B9784" s="1"/>
    </row>
    <row r="9785" spans="2:2" x14ac:dyDescent="0.25">
      <c r="B9785" s="1"/>
    </row>
    <row r="9786" spans="2:2" x14ac:dyDescent="0.25">
      <c r="B9786" s="1"/>
    </row>
    <row r="9787" spans="2:2" x14ac:dyDescent="0.25">
      <c r="B9787" s="1"/>
    </row>
    <row r="9788" spans="2:2" x14ac:dyDescent="0.25">
      <c r="B9788" s="1"/>
    </row>
    <row r="9789" spans="2:2" x14ac:dyDescent="0.25">
      <c r="B9789" s="1"/>
    </row>
    <row r="9790" spans="2:2" x14ac:dyDescent="0.25">
      <c r="B9790" s="1"/>
    </row>
    <row r="9791" spans="2:2" x14ac:dyDescent="0.25">
      <c r="B9791" s="1"/>
    </row>
    <row r="9792" spans="2:2" x14ac:dyDescent="0.25">
      <c r="B9792" s="1"/>
    </row>
    <row r="9793" spans="2:2" x14ac:dyDescent="0.25">
      <c r="B9793" s="1"/>
    </row>
    <row r="9794" spans="2:2" x14ac:dyDescent="0.25">
      <c r="B9794" s="1"/>
    </row>
    <row r="9795" spans="2:2" x14ac:dyDescent="0.25">
      <c r="B9795" s="1"/>
    </row>
    <row r="9796" spans="2:2" x14ac:dyDescent="0.25">
      <c r="B9796" s="1"/>
    </row>
    <row r="9797" spans="2:2" x14ac:dyDescent="0.25">
      <c r="B9797" s="1"/>
    </row>
    <row r="9798" spans="2:2" x14ac:dyDescent="0.25">
      <c r="B9798" s="1"/>
    </row>
    <row r="9799" spans="2:2" x14ac:dyDescent="0.25">
      <c r="B9799" s="1"/>
    </row>
    <row r="9800" spans="2:2" x14ac:dyDescent="0.25">
      <c r="B9800" s="1"/>
    </row>
    <row r="9801" spans="2:2" x14ac:dyDescent="0.25">
      <c r="B9801" s="1"/>
    </row>
    <row r="9802" spans="2:2" x14ac:dyDescent="0.25">
      <c r="B9802" s="1"/>
    </row>
    <row r="9803" spans="2:2" x14ac:dyDescent="0.25">
      <c r="B9803" s="1"/>
    </row>
    <row r="9804" spans="2:2" x14ac:dyDescent="0.25">
      <c r="B9804" s="1"/>
    </row>
    <row r="9805" spans="2:2" x14ac:dyDescent="0.25">
      <c r="B9805" s="1"/>
    </row>
    <row r="9806" spans="2:2" x14ac:dyDescent="0.25">
      <c r="B9806" s="1"/>
    </row>
    <row r="9807" spans="2:2" x14ac:dyDescent="0.25">
      <c r="B9807" s="1"/>
    </row>
    <row r="9808" spans="2:2" x14ac:dyDescent="0.25">
      <c r="B9808" s="1"/>
    </row>
    <row r="9809" spans="2:2" x14ac:dyDescent="0.25">
      <c r="B9809" s="1"/>
    </row>
    <row r="9810" spans="2:2" x14ac:dyDescent="0.25">
      <c r="B9810" s="1"/>
    </row>
    <row r="9811" spans="2:2" x14ac:dyDescent="0.25">
      <c r="B9811" s="1"/>
    </row>
    <row r="9812" spans="2:2" x14ac:dyDescent="0.25">
      <c r="B9812" s="1"/>
    </row>
    <row r="9813" spans="2:2" x14ac:dyDescent="0.25">
      <c r="B9813" s="1"/>
    </row>
    <row r="9814" spans="2:2" x14ac:dyDescent="0.25">
      <c r="B9814" s="1"/>
    </row>
    <row r="9815" spans="2:2" x14ac:dyDescent="0.25">
      <c r="B9815" s="1"/>
    </row>
    <row r="9816" spans="2:2" x14ac:dyDescent="0.25">
      <c r="B9816" s="1"/>
    </row>
    <row r="9817" spans="2:2" x14ac:dyDescent="0.25">
      <c r="B9817" s="1"/>
    </row>
    <row r="9818" spans="2:2" x14ac:dyDescent="0.25">
      <c r="B9818" s="1"/>
    </row>
    <row r="9819" spans="2:2" x14ac:dyDescent="0.25">
      <c r="B9819" s="1"/>
    </row>
    <row r="9820" spans="2:2" x14ac:dyDescent="0.25">
      <c r="B9820" s="1"/>
    </row>
    <row r="9821" spans="2:2" x14ac:dyDescent="0.25">
      <c r="B9821" s="1"/>
    </row>
    <row r="9822" spans="2:2" x14ac:dyDescent="0.25">
      <c r="B9822" s="1"/>
    </row>
    <row r="9823" spans="2:2" x14ac:dyDescent="0.25">
      <c r="B9823" s="1"/>
    </row>
    <row r="9824" spans="2:2" x14ac:dyDescent="0.25">
      <c r="B9824" s="1"/>
    </row>
    <row r="9825" spans="2:2" x14ac:dyDescent="0.25">
      <c r="B9825" s="1"/>
    </row>
    <row r="9826" spans="2:2" x14ac:dyDescent="0.25">
      <c r="B9826" s="1"/>
    </row>
    <row r="9827" spans="2:2" x14ac:dyDescent="0.25">
      <c r="B9827" s="1"/>
    </row>
    <row r="9828" spans="2:2" x14ac:dyDescent="0.25">
      <c r="B9828" s="1"/>
    </row>
    <row r="9829" spans="2:2" x14ac:dyDescent="0.25">
      <c r="B9829" s="1"/>
    </row>
    <row r="9830" spans="2:2" x14ac:dyDescent="0.25">
      <c r="B9830" s="1"/>
    </row>
    <row r="9831" spans="2:2" x14ac:dyDescent="0.25">
      <c r="B9831" s="1"/>
    </row>
    <row r="9832" spans="2:2" x14ac:dyDescent="0.25">
      <c r="B9832" s="1"/>
    </row>
    <row r="9833" spans="2:2" x14ac:dyDescent="0.25">
      <c r="B9833" s="1"/>
    </row>
    <row r="9834" spans="2:2" x14ac:dyDescent="0.25">
      <c r="B9834" s="1"/>
    </row>
    <row r="9835" spans="2:2" x14ac:dyDescent="0.25">
      <c r="B9835" s="1"/>
    </row>
    <row r="9836" spans="2:2" x14ac:dyDescent="0.25">
      <c r="B9836" s="1"/>
    </row>
    <row r="9837" spans="2:2" x14ac:dyDescent="0.25">
      <c r="B9837" s="1"/>
    </row>
    <row r="9838" spans="2:2" x14ac:dyDescent="0.25">
      <c r="B9838" s="1"/>
    </row>
    <row r="9839" spans="2:2" x14ac:dyDescent="0.25">
      <c r="B9839" s="1"/>
    </row>
    <row r="9840" spans="2:2" x14ac:dyDescent="0.25">
      <c r="B9840" s="1"/>
    </row>
    <row r="9841" spans="2:2" x14ac:dyDescent="0.25">
      <c r="B9841" s="1"/>
    </row>
    <row r="9842" spans="2:2" x14ac:dyDescent="0.25">
      <c r="B9842" s="1"/>
    </row>
    <row r="9843" spans="2:2" x14ac:dyDescent="0.25">
      <c r="B9843" s="1"/>
    </row>
    <row r="9844" spans="2:2" x14ac:dyDescent="0.25">
      <c r="B9844" s="1"/>
    </row>
    <row r="9845" spans="2:2" x14ac:dyDescent="0.25">
      <c r="B9845" s="1"/>
    </row>
    <row r="9846" spans="2:2" x14ac:dyDescent="0.25">
      <c r="B9846" s="1"/>
    </row>
    <row r="9847" spans="2:2" x14ac:dyDescent="0.25">
      <c r="B9847" s="1"/>
    </row>
    <row r="9848" spans="2:2" x14ac:dyDescent="0.25">
      <c r="B9848" s="1"/>
    </row>
    <row r="9849" spans="2:2" x14ac:dyDescent="0.25">
      <c r="B9849" s="1"/>
    </row>
    <row r="9850" spans="2:2" x14ac:dyDescent="0.25">
      <c r="B9850" s="1"/>
    </row>
    <row r="9851" spans="2:2" x14ac:dyDescent="0.25">
      <c r="B9851" s="1"/>
    </row>
    <row r="9852" spans="2:2" x14ac:dyDescent="0.25">
      <c r="B9852" s="1"/>
    </row>
    <row r="9853" spans="2:2" x14ac:dyDescent="0.25">
      <c r="B9853" s="1"/>
    </row>
    <row r="9854" spans="2:2" x14ac:dyDescent="0.25">
      <c r="B9854" s="1"/>
    </row>
    <row r="9855" spans="2:2" x14ac:dyDescent="0.25">
      <c r="B9855" s="1"/>
    </row>
    <row r="9856" spans="2:2" x14ac:dyDescent="0.25">
      <c r="B9856" s="1"/>
    </row>
    <row r="9857" spans="2:2" x14ac:dyDescent="0.25">
      <c r="B9857" s="1"/>
    </row>
    <row r="9858" spans="2:2" x14ac:dyDescent="0.25">
      <c r="B9858" s="1"/>
    </row>
    <row r="9859" spans="2:2" x14ac:dyDescent="0.25">
      <c r="B9859" s="1"/>
    </row>
    <row r="9860" spans="2:2" x14ac:dyDescent="0.25">
      <c r="B9860" s="1"/>
    </row>
    <row r="9861" spans="2:2" x14ac:dyDescent="0.25">
      <c r="B9861" s="1"/>
    </row>
    <row r="9862" spans="2:2" x14ac:dyDescent="0.25">
      <c r="B9862" s="1"/>
    </row>
    <row r="9863" spans="2:2" x14ac:dyDescent="0.25">
      <c r="B9863" s="1"/>
    </row>
    <row r="9864" spans="2:2" x14ac:dyDescent="0.25">
      <c r="B9864" s="1"/>
    </row>
    <row r="9865" spans="2:2" x14ac:dyDescent="0.25">
      <c r="B9865" s="1"/>
    </row>
    <row r="9866" spans="2:2" x14ac:dyDescent="0.25">
      <c r="B9866" s="1"/>
    </row>
    <row r="9867" spans="2:2" x14ac:dyDescent="0.25">
      <c r="B9867" s="1"/>
    </row>
    <row r="9868" spans="2:2" x14ac:dyDescent="0.25">
      <c r="B9868" s="1"/>
    </row>
    <row r="9869" spans="2:2" x14ac:dyDescent="0.25">
      <c r="B9869" s="1"/>
    </row>
    <row r="9870" spans="2:2" x14ac:dyDescent="0.25">
      <c r="B9870" s="1"/>
    </row>
    <row r="9871" spans="2:2" x14ac:dyDescent="0.25">
      <c r="B9871" s="1"/>
    </row>
    <row r="9872" spans="2:2" x14ac:dyDescent="0.25">
      <c r="B9872" s="1"/>
    </row>
    <row r="9873" spans="2:2" x14ac:dyDescent="0.25">
      <c r="B9873" s="1"/>
    </row>
    <row r="9874" spans="2:2" x14ac:dyDescent="0.25">
      <c r="B9874" s="1"/>
    </row>
    <row r="9875" spans="2:2" x14ac:dyDescent="0.25">
      <c r="B9875" s="1"/>
    </row>
    <row r="9876" spans="2:2" x14ac:dyDescent="0.25">
      <c r="B9876" s="1"/>
    </row>
    <row r="9877" spans="2:2" x14ac:dyDescent="0.25">
      <c r="B9877" s="1"/>
    </row>
    <row r="9878" spans="2:2" x14ac:dyDescent="0.25">
      <c r="B9878" s="1"/>
    </row>
    <row r="9879" spans="2:2" x14ac:dyDescent="0.25">
      <c r="B9879" s="1"/>
    </row>
    <row r="9880" spans="2:2" x14ac:dyDescent="0.25">
      <c r="B9880" s="1"/>
    </row>
    <row r="9881" spans="2:2" x14ac:dyDescent="0.25">
      <c r="B9881" s="1"/>
    </row>
    <row r="9882" spans="2:2" x14ac:dyDescent="0.25">
      <c r="B9882" s="1"/>
    </row>
    <row r="9883" spans="2:2" x14ac:dyDescent="0.25">
      <c r="B9883" s="1"/>
    </row>
    <row r="9884" spans="2:2" x14ac:dyDescent="0.25">
      <c r="B9884" s="1"/>
    </row>
    <row r="9885" spans="2:2" x14ac:dyDescent="0.25">
      <c r="B9885" s="1"/>
    </row>
    <row r="9886" spans="2:2" x14ac:dyDescent="0.25">
      <c r="B9886" s="1"/>
    </row>
    <row r="9887" spans="2:2" x14ac:dyDescent="0.25">
      <c r="B9887" s="1"/>
    </row>
    <row r="9888" spans="2:2" x14ac:dyDescent="0.25">
      <c r="B9888" s="1"/>
    </row>
    <row r="9889" spans="2:2" x14ac:dyDescent="0.25">
      <c r="B9889" s="1"/>
    </row>
    <row r="9890" spans="2:2" x14ac:dyDescent="0.25">
      <c r="B9890" s="1"/>
    </row>
    <row r="9891" spans="2:2" x14ac:dyDescent="0.25">
      <c r="B9891" s="1"/>
    </row>
    <row r="9892" spans="2:2" x14ac:dyDescent="0.25">
      <c r="B9892" s="1"/>
    </row>
    <row r="9893" spans="2:2" x14ac:dyDescent="0.25">
      <c r="B9893" s="1"/>
    </row>
    <row r="9894" spans="2:2" x14ac:dyDescent="0.25">
      <c r="B9894" s="1"/>
    </row>
    <row r="9895" spans="2:2" x14ac:dyDescent="0.25">
      <c r="B9895" s="1"/>
    </row>
    <row r="9896" spans="2:2" x14ac:dyDescent="0.25">
      <c r="B9896" s="1"/>
    </row>
    <row r="9897" spans="2:2" x14ac:dyDescent="0.25">
      <c r="B9897" s="1"/>
    </row>
    <row r="9898" spans="2:2" x14ac:dyDescent="0.25">
      <c r="B9898" s="1"/>
    </row>
    <row r="9899" spans="2:2" x14ac:dyDescent="0.25">
      <c r="B9899" s="1"/>
    </row>
    <row r="9900" spans="2:2" x14ac:dyDescent="0.25">
      <c r="B9900" s="1"/>
    </row>
    <row r="9901" spans="2:2" x14ac:dyDescent="0.25">
      <c r="B9901" s="1"/>
    </row>
    <row r="9902" spans="2:2" x14ac:dyDescent="0.25">
      <c r="B9902" s="1"/>
    </row>
    <row r="9903" spans="2:2" x14ac:dyDescent="0.25">
      <c r="B9903" s="1"/>
    </row>
    <row r="9904" spans="2:2" x14ac:dyDescent="0.25">
      <c r="B9904" s="1"/>
    </row>
    <row r="9905" spans="2:2" x14ac:dyDescent="0.25">
      <c r="B9905" s="1"/>
    </row>
    <row r="9906" spans="2:2" x14ac:dyDescent="0.25">
      <c r="B9906" s="1"/>
    </row>
    <row r="9907" spans="2:2" x14ac:dyDescent="0.25">
      <c r="B9907" s="1"/>
    </row>
    <row r="9908" spans="2:2" x14ac:dyDescent="0.25">
      <c r="B9908" s="1"/>
    </row>
    <row r="9909" spans="2:2" x14ac:dyDescent="0.25">
      <c r="B9909" s="1"/>
    </row>
    <row r="9910" spans="2:2" x14ac:dyDescent="0.25">
      <c r="B9910" s="1"/>
    </row>
    <row r="9911" spans="2:2" x14ac:dyDescent="0.25">
      <c r="B9911" s="1"/>
    </row>
    <row r="9912" spans="2:2" x14ac:dyDescent="0.25">
      <c r="B9912" s="1"/>
    </row>
    <row r="9913" spans="2:2" x14ac:dyDescent="0.25">
      <c r="B9913" s="1"/>
    </row>
    <row r="9914" spans="2:2" x14ac:dyDescent="0.25">
      <c r="B9914" s="1"/>
    </row>
    <row r="9915" spans="2:2" x14ac:dyDescent="0.25">
      <c r="B9915" s="1"/>
    </row>
    <row r="9916" spans="2:2" x14ac:dyDescent="0.25">
      <c r="B9916" s="1"/>
    </row>
    <row r="9917" spans="2:2" x14ac:dyDescent="0.25">
      <c r="B9917" s="1"/>
    </row>
    <row r="9918" spans="2:2" x14ac:dyDescent="0.25">
      <c r="B9918" s="1"/>
    </row>
    <row r="9919" spans="2:2" x14ac:dyDescent="0.25">
      <c r="B9919" s="1"/>
    </row>
    <row r="9920" spans="2:2" x14ac:dyDescent="0.25">
      <c r="B9920" s="1"/>
    </row>
    <row r="9921" spans="2:2" x14ac:dyDescent="0.25">
      <c r="B9921" s="1"/>
    </row>
    <row r="9922" spans="2:2" x14ac:dyDescent="0.25">
      <c r="B9922" s="1"/>
    </row>
    <row r="9923" spans="2:2" x14ac:dyDescent="0.25">
      <c r="B9923" s="1"/>
    </row>
    <row r="9924" spans="2:2" x14ac:dyDescent="0.25">
      <c r="B9924" s="1"/>
    </row>
    <row r="9925" spans="2:2" x14ac:dyDescent="0.25">
      <c r="B9925" s="1"/>
    </row>
    <row r="9926" spans="2:2" x14ac:dyDescent="0.25">
      <c r="B9926" s="1"/>
    </row>
    <row r="9927" spans="2:2" x14ac:dyDescent="0.25">
      <c r="B9927" s="1"/>
    </row>
    <row r="9928" spans="2:2" x14ac:dyDescent="0.25">
      <c r="B9928" s="1"/>
    </row>
    <row r="9929" spans="2:2" x14ac:dyDescent="0.25">
      <c r="B9929" s="1"/>
    </row>
    <row r="9930" spans="2:2" x14ac:dyDescent="0.25">
      <c r="B9930" s="1"/>
    </row>
    <row r="9931" spans="2:2" x14ac:dyDescent="0.25">
      <c r="B9931" s="1"/>
    </row>
    <row r="9932" spans="2:2" x14ac:dyDescent="0.25">
      <c r="B9932" s="1"/>
    </row>
    <row r="9933" spans="2:2" x14ac:dyDescent="0.25">
      <c r="B9933" s="1"/>
    </row>
    <row r="9934" spans="2:2" x14ac:dyDescent="0.25">
      <c r="B9934" s="1"/>
    </row>
    <row r="9935" spans="2:2" x14ac:dyDescent="0.25">
      <c r="B9935" s="1"/>
    </row>
    <row r="9936" spans="2:2" x14ac:dyDescent="0.25">
      <c r="B9936" s="1"/>
    </row>
    <row r="9937" spans="2:2" x14ac:dyDescent="0.25">
      <c r="B9937" s="1"/>
    </row>
    <row r="9938" spans="2:2" x14ac:dyDescent="0.25">
      <c r="B9938" s="1"/>
    </row>
    <row r="9939" spans="2:2" x14ac:dyDescent="0.25">
      <c r="B9939" s="1"/>
    </row>
    <row r="9940" spans="2:2" x14ac:dyDescent="0.25">
      <c r="B9940" s="1"/>
    </row>
    <row r="9941" spans="2:2" x14ac:dyDescent="0.25">
      <c r="B9941" s="1"/>
    </row>
    <row r="9942" spans="2:2" x14ac:dyDescent="0.25">
      <c r="B9942" s="1"/>
    </row>
    <row r="9943" spans="2:2" x14ac:dyDescent="0.25">
      <c r="B9943" s="1"/>
    </row>
    <row r="9944" spans="2:2" x14ac:dyDescent="0.25">
      <c r="B9944" s="1"/>
    </row>
    <row r="9945" spans="2:2" x14ac:dyDescent="0.25">
      <c r="B9945" s="1"/>
    </row>
    <row r="9946" spans="2:2" x14ac:dyDescent="0.25">
      <c r="B9946" s="1"/>
    </row>
    <row r="9947" spans="2:2" x14ac:dyDescent="0.25">
      <c r="B9947" s="1"/>
    </row>
    <row r="9948" spans="2:2" x14ac:dyDescent="0.25">
      <c r="B9948" s="1"/>
    </row>
    <row r="9949" spans="2:2" x14ac:dyDescent="0.25">
      <c r="B9949" s="1"/>
    </row>
    <row r="9950" spans="2:2" x14ac:dyDescent="0.25">
      <c r="B9950" s="1"/>
    </row>
    <row r="9951" spans="2:2" x14ac:dyDescent="0.25">
      <c r="B9951" s="1"/>
    </row>
    <row r="9952" spans="2:2" x14ac:dyDescent="0.25">
      <c r="B9952" s="1"/>
    </row>
    <row r="9953" spans="2:2" x14ac:dyDescent="0.25">
      <c r="B9953" s="1"/>
    </row>
    <row r="9954" spans="2:2" x14ac:dyDescent="0.25">
      <c r="B9954" s="1"/>
    </row>
    <row r="9955" spans="2:2" x14ac:dyDescent="0.25">
      <c r="B9955" s="1"/>
    </row>
    <row r="9956" spans="2:2" x14ac:dyDescent="0.25">
      <c r="B9956" s="1"/>
    </row>
    <row r="9957" spans="2:2" x14ac:dyDescent="0.25">
      <c r="B9957" s="1"/>
    </row>
    <row r="9958" spans="2:2" x14ac:dyDescent="0.25">
      <c r="B9958" s="1"/>
    </row>
    <row r="9959" spans="2:2" x14ac:dyDescent="0.25">
      <c r="B9959" s="1"/>
    </row>
    <row r="9960" spans="2:2" x14ac:dyDescent="0.25">
      <c r="B9960" s="1"/>
    </row>
    <row r="9961" spans="2:2" x14ac:dyDescent="0.25">
      <c r="B9961" s="1"/>
    </row>
    <row r="9962" spans="2:2" x14ac:dyDescent="0.25">
      <c r="B9962" s="1"/>
    </row>
    <row r="9963" spans="2:2" x14ac:dyDescent="0.25">
      <c r="B9963" s="1"/>
    </row>
    <row r="9964" spans="2:2" x14ac:dyDescent="0.25">
      <c r="B9964" s="1"/>
    </row>
    <row r="9965" spans="2:2" x14ac:dyDescent="0.25">
      <c r="B9965" s="1"/>
    </row>
    <row r="9966" spans="2:2" x14ac:dyDescent="0.25">
      <c r="B9966" s="1"/>
    </row>
    <row r="9967" spans="2:2" x14ac:dyDescent="0.25">
      <c r="B9967" s="1"/>
    </row>
    <row r="9968" spans="2:2" x14ac:dyDescent="0.25">
      <c r="B9968" s="1"/>
    </row>
    <row r="9969" spans="2:2" x14ac:dyDescent="0.25">
      <c r="B9969" s="1"/>
    </row>
    <row r="9970" spans="2:2" x14ac:dyDescent="0.25">
      <c r="B9970" s="1"/>
    </row>
    <row r="9971" spans="2:2" x14ac:dyDescent="0.25">
      <c r="B9971" s="1"/>
    </row>
    <row r="9972" spans="2:2" x14ac:dyDescent="0.25">
      <c r="B9972" s="1"/>
    </row>
    <row r="9973" spans="2:2" x14ac:dyDescent="0.25">
      <c r="B9973" s="1"/>
    </row>
    <row r="9974" spans="2:2" x14ac:dyDescent="0.25">
      <c r="B9974" s="1"/>
    </row>
    <row r="9975" spans="2:2" x14ac:dyDescent="0.25">
      <c r="B9975" s="1"/>
    </row>
    <row r="9976" spans="2:2" x14ac:dyDescent="0.25">
      <c r="B9976" s="1"/>
    </row>
    <row r="9977" spans="2:2" x14ac:dyDescent="0.25">
      <c r="B9977" s="1"/>
    </row>
    <row r="9978" spans="2:2" x14ac:dyDescent="0.25">
      <c r="B9978" s="1"/>
    </row>
    <row r="9979" spans="2:2" x14ac:dyDescent="0.25">
      <c r="B9979" s="1"/>
    </row>
    <row r="9980" spans="2:2" x14ac:dyDescent="0.25">
      <c r="B9980" s="1"/>
    </row>
    <row r="9981" spans="2:2" x14ac:dyDescent="0.25">
      <c r="B9981" s="1"/>
    </row>
    <row r="9982" spans="2:2" x14ac:dyDescent="0.25">
      <c r="B9982" s="1"/>
    </row>
    <row r="9983" spans="2:2" x14ac:dyDescent="0.25">
      <c r="B9983" s="1"/>
    </row>
    <row r="9984" spans="2:2" x14ac:dyDescent="0.25">
      <c r="B9984" s="1"/>
    </row>
    <row r="9985" spans="2:2" x14ac:dyDescent="0.25">
      <c r="B9985" s="1"/>
    </row>
    <row r="9986" spans="2:2" x14ac:dyDescent="0.25">
      <c r="B9986" s="1"/>
    </row>
    <row r="9987" spans="2:2" x14ac:dyDescent="0.25">
      <c r="B9987" s="1"/>
    </row>
    <row r="9988" spans="2:2" x14ac:dyDescent="0.25">
      <c r="B9988" s="1"/>
    </row>
    <row r="9989" spans="2:2" x14ac:dyDescent="0.25">
      <c r="B9989" s="1"/>
    </row>
    <row r="9990" spans="2:2" x14ac:dyDescent="0.25">
      <c r="B9990" s="1"/>
    </row>
    <row r="9991" spans="2:2" x14ac:dyDescent="0.25">
      <c r="B9991" s="1"/>
    </row>
    <row r="9992" spans="2:2" x14ac:dyDescent="0.25">
      <c r="B9992" s="1"/>
    </row>
    <row r="9993" spans="2:2" x14ac:dyDescent="0.25">
      <c r="B9993" s="1"/>
    </row>
    <row r="9994" spans="2:2" x14ac:dyDescent="0.25">
      <c r="B9994" s="1"/>
    </row>
    <row r="9995" spans="2:2" x14ac:dyDescent="0.25">
      <c r="B9995" s="1"/>
    </row>
    <row r="9996" spans="2:2" x14ac:dyDescent="0.25">
      <c r="B9996" s="1"/>
    </row>
    <row r="9997" spans="2:2" x14ac:dyDescent="0.25">
      <c r="B9997" s="1"/>
    </row>
    <row r="9998" spans="2:2" x14ac:dyDescent="0.25">
      <c r="B9998" s="1"/>
    </row>
    <row r="9999" spans="2:2" x14ac:dyDescent="0.25">
      <c r="B9999" s="1"/>
    </row>
    <row r="10000" spans="2:2" x14ac:dyDescent="0.25">
      <c r="B10000" s="1"/>
    </row>
    <row r="10001" spans="2:2" x14ac:dyDescent="0.25">
      <c r="B10001" s="1"/>
    </row>
    <row r="10002" spans="2:2" x14ac:dyDescent="0.25">
      <c r="B10002" s="1"/>
    </row>
    <row r="10003" spans="2:2" x14ac:dyDescent="0.25">
      <c r="B10003" s="1"/>
    </row>
    <row r="10004" spans="2:2" x14ac:dyDescent="0.25">
      <c r="B10004" s="1"/>
    </row>
    <row r="10005" spans="2:2" x14ac:dyDescent="0.25">
      <c r="B10005" s="1"/>
    </row>
    <row r="10006" spans="2:2" x14ac:dyDescent="0.25">
      <c r="B10006" s="1"/>
    </row>
    <row r="10007" spans="2:2" x14ac:dyDescent="0.25">
      <c r="B10007" s="1"/>
    </row>
    <row r="10008" spans="2:2" x14ac:dyDescent="0.25">
      <c r="B10008" s="1"/>
    </row>
    <row r="10009" spans="2:2" x14ac:dyDescent="0.25">
      <c r="B10009" s="1"/>
    </row>
    <row r="10010" spans="2:2" x14ac:dyDescent="0.25">
      <c r="B10010" s="1"/>
    </row>
    <row r="10011" spans="2:2" x14ac:dyDescent="0.25">
      <c r="B10011" s="1"/>
    </row>
    <row r="10012" spans="2:2" x14ac:dyDescent="0.25">
      <c r="B10012" s="1"/>
    </row>
    <row r="10013" spans="2:2" x14ac:dyDescent="0.25">
      <c r="B10013" s="1"/>
    </row>
    <row r="10014" spans="2:2" x14ac:dyDescent="0.25">
      <c r="B10014" s="1"/>
    </row>
    <row r="10015" spans="2:2" x14ac:dyDescent="0.25">
      <c r="B10015" s="1"/>
    </row>
    <row r="10016" spans="2:2" x14ac:dyDescent="0.25">
      <c r="B10016" s="1"/>
    </row>
    <row r="10017" spans="2:2" x14ac:dyDescent="0.25">
      <c r="B10017" s="1"/>
    </row>
    <row r="10018" spans="2:2" x14ac:dyDescent="0.25">
      <c r="B10018" s="1"/>
    </row>
    <row r="10019" spans="2:2" x14ac:dyDescent="0.25">
      <c r="B10019" s="1"/>
    </row>
    <row r="10020" spans="2:2" x14ac:dyDescent="0.25">
      <c r="B10020" s="1"/>
    </row>
    <row r="10021" spans="2:2" x14ac:dyDescent="0.25">
      <c r="B10021" s="1"/>
    </row>
    <row r="10022" spans="2:2" x14ac:dyDescent="0.25">
      <c r="B10022" s="1"/>
    </row>
    <row r="10023" spans="2:2" x14ac:dyDescent="0.25">
      <c r="B10023" s="1"/>
    </row>
    <row r="10024" spans="2:2" x14ac:dyDescent="0.25">
      <c r="B10024" s="1"/>
    </row>
    <row r="10025" spans="2:2" x14ac:dyDescent="0.25">
      <c r="B10025" s="1"/>
    </row>
    <row r="10026" spans="2:2" x14ac:dyDescent="0.25">
      <c r="B10026" s="1"/>
    </row>
    <row r="10027" spans="2:2" x14ac:dyDescent="0.25">
      <c r="B10027" s="1"/>
    </row>
    <row r="10028" spans="2:2" x14ac:dyDescent="0.25">
      <c r="B10028" s="1"/>
    </row>
    <row r="10029" spans="2:2" x14ac:dyDescent="0.25">
      <c r="B10029" s="1"/>
    </row>
    <row r="10030" spans="2:2" x14ac:dyDescent="0.25">
      <c r="B10030" s="1"/>
    </row>
    <row r="10031" spans="2:2" x14ac:dyDescent="0.25">
      <c r="B10031" s="1"/>
    </row>
    <row r="10032" spans="2:2" x14ac:dyDescent="0.25">
      <c r="B10032" s="1"/>
    </row>
    <row r="10033" spans="2:2" x14ac:dyDescent="0.25">
      <c r="B10033" s="1"/>
    </row>
    <row r="10034" spans="2:2" x14ac:dyDescent="0.25">
      <c r="B10034" s="1"/>
    </row>
    <row r="10035" spans="2:2" x14ac:dyDescent="0.25">
      <c r="B10035" s="1"/>
    </row>
    <row r="10036" spans="2:2" x14ac:dyDescent="0.25">
      <c r="B10036" s="1"/>
    </row>
    <row r="10037" spans="2:2" x14ac:dyDescent="0.25">
      <c r="B10037" s="1"/>
    </row>
    <row r="10038" spans="2:2" x14ac:dyDescent="0.25">
      <c r="B10038" s="1"/>
    </row>
    <row r="10039" spans="2:2" x14ac:dyDescent="0.25">
      <c r="B10039" s="1"/>
    </row>
    <row r="10040" spans="2:2" x14ac:dyDescent="0.25">
      <c r="B10040" s="1"/>
    </row>
    <row r="10041" spans="2:2" x14ac:dyDescent="0.25">
      <c r="B10041" s="1"/>
    </row>
    <row r="10042" spans="2:2" x14ac:dyDescent="0.25">
      <c r="B10042" s="1"/>
    </row>
    <row r="10043" spans="2:2" x14ac:dyDescent="0.25">
      <c r="B10043" s="1"/>
    </row>
    <row r="10044" spans="2:2" x14ac:dyDescent="0.25">
      <c r="B10044" s="1"/>
    </row>
    <row r="10045" spans="2:2" x14ac:dyDescent="0.25">
      <c r="B10045" s="1"/>
    </row>
    <row r="10046" spans="2:2" x14ac:dyDescent="0.25">
      <c r="B10046" s="1"/>
    </row>
    <row r="10047" spans="2:2" x14ac:dyDescent="0.25">
      <c r="B10047" s="1"/>
    </row>
    <row r="10048" spans="2:2" x14ac:dyDescent="0.25">
      <c r="B10048" s="1"/>
    </row>
    <row r="10049" spans="2:2" x14ac:dyDescent="0.25">
      <c r="B10049" s="1"/>
    </row>
    <row r="10050" spans="2:2" x14ac:dyDescent="0.25">
      <c r="B10050" s="1"/>
    </row>
    <row r="10051" spans="2:2" x14ac:dyDescent="0.25">
      <c r="B10051" s="1"/>
    </row>
    <row r="10052" spans="2:2" x14ac:dyDescent="0.25">
      <c r="B10052" s="1"/>
    </row>
    <row r="10053" spans="2:2" x14ac:dyDescent="0.25">
      <c r="B10053" s="1"/>
    </row>
    <row r="10054" spans="2:2" x14ac:dyDescent="0.25">
      <c r="B10054" s="1"/>
    </row>
    <row r="10055" spans="2:2" x14ac:dyDescent="0.25">
      <c r="B10055" s="1"/>
    </row>
    <row r="10056" spans="2:2" x14ac:dyDescent="0.25">
      <c r="B10056" s="1"/>
    </row>
    <row r="10057" spans="2:2" x14ac:dyDescent="0.25">
      <c r="B10057" s="1"/>
    </row>
    <row r="10058" spans="2:2" x14ac:dyDescent="0.25">
      <c r="B10058" s="1"/>
    </row>
    <row r="10059" spans="2:2" x14ac:dyDescent="0.25">
      <c r="B10059" s="1"/>
    </row>
    <row r="10060" spans="2:2" x14ac:dyDescent="0.25">
      <c r="B10060" s="1"/>
    </row>
    <row r="10061" spans="2:2" x14ac:dyDescent="0.25">
      <c r="B10061" s="1"/>
    </row>
    <row r="10062" spans="2:2" x14ac:dyDescent="0.25">
      <c r="B10062" s="1"/>
    </row>
    <row r="10063" spans="2:2" x14ac:dyDescent="0.25">
      <c r="B10063" s="1"/>
    </row>
    <row r="10064" spans="2:2" x14ac:dyDescent="0.25">
      <c r="B10064" s="1"/>
    </row>
    <row r="10065" spans="2:2" x14ac:dyDescent="0.25">
      <c r="B10065" s="1"/>
    </row>
    <row r="10066" spans="2:2" x14ac:dyDescent="0.25">
      <c r="B10066" s="1"/>
    </row>
    <row r="10067" spans="2:2" x14ac:dyDescent="0.25">
      <c r="B10067" s="1"/>
    </row>
    <row r="10068" spans="2:2" x14ac:dyDescent="0.25">
      <c r="B10068" s="1"/>
    </row>
    <row r="10069" spans="2:2" x14ac:dyDescent="0.25">
      <c r="B10069" s="1"/>
    </row>
    <row r="10070" spans="2:2" x14ac:dyDescent="0.25">
      <c r="B10070" s="1"/>
    </row>
    <row r="10071" spans="2:2" x14ac:dyDescent="0.25">
      <c r="B10071" s="1"/>
    </row>
    <row r="10072" spans="2:2" x14ac:dyDescent="0.25">
      <c r="B10072" s="1"/>
    </row>
    <row r="10073" spans="2:2" x14ac:dyDescent="0.25">
      <c r="B10073" s="1"/>
    </row>
    <row r="10074" spans="2:2" x14ac:dyDescent="0.25">
      <c r="B10074" s="1"/>
    </row>
    <row r="10075" spans="2:2" x14ac:dyDescent="0.25">
      <c r="B10075" s="1"/>
    </row>
    <row r="10076" spans="2:2" x14ac:dyDescent="0.25">
      <c r="B10076" s="1"/>
    </row>
    <row r="10077" spans="2:2" x14ac:dyDescent="0.25">
      <c r="B10077" s="1"/>
    </row>
    <row r="10078" spans="2:2" x14ac:dyDescent="0.25">
      <c r="B10078" s="1"/>
    </row>
    <row r="10079" spans="2:2" x14ac:dyDescent="0.25">
      <c r="B10079" s="1"/>
    </row>
    <row r="10080" spans="2:2" x14ac:dyDescent="0.25">
      <c r="B10080" s="1"/>
    </row>
    <row r="10081" spans="2:2" x14ac:dyDescent="0.25">
      <c r="B10081" s="1"/>
    </row>
    <row r="10082" spans="2:2" x14ac:dyDescent="0.25">
      <c r="B10082" s="1"/>
    </row>
    <row r="10083" spans="2:2" x14ac:dyDescent="0.25">
      <c r="B10083" s="1"/>
    </row>
    <row r="10084" spans="2:2" x14ac:dyDescent="0.25">
      <c r="B10084" s="1"/>
    </row>
    <row r="10085" spans="2:2" x14ac:dyDescent="0.25">
      <c r="B10085" s="1"/>
    </row>
    <row r="10086" spans="2:2" x14ac:dyDescent="0.25">
      <c r="B10086" s="1"/>
    </row>
    <row r="10087" spans="2:2" x14ac:dyDescent="0.25">
      <c r="B10087" s="1"/>
    </row>
    <row r="10088" spans="2:2" x14ac:dyDescent="0.25">
      <c r="B10088" s="1"/>
    </row>
    <row r="10089" spans="2:2" x14ac:dyDescent="0.25">
      <c r="B10089" s="1"/>
    </row>
    <row r="10090" spans="2:2" x14ac:dyDescent="0.25">
      <c r="B10090" s="1"/>
    </row>
    <row r="10091" spans="2:2" x14ac:dyDescent="0.25">
      <c r="B10091" s="1"/>
    </row>
    <row r="10092" spans="2:2" x14ac:dyDescent="0.25">
      <c r="B10092" s="1"/>
    </row>
    <row r="10093" spans="2:2" x14ac:dyDescent="0.25">
      <c r="B10093" s="1"/>
    </row>
    <row r="10094" spans="2:2" x14ac:dyDescent="0.25">
      <c r="B10094" s="1"/>
    </row>
    <row r="10095" spans="2:2" x14ac:dyDescent="0.25">
      <c r="B10095" s="1"/>
    </row>
    <row r="10096" spans="2:2" x14ac:dyDescent="0.25">
      <c r="B10096" s="1"/>
    </row>
    <row r="10097" spans="2:2" x14ac:dyDescent="0.25">
      <c r="B10097" s="1"/>
    </row>
    <row r="10098" spans="2:2" x14ac:dyDescent="0.25">
      <c r="B10098" s="1"/>
    </row>
    <row r="10099" spans="2:2" x14ac:dyDescent="0.25">
      <c r="B10099" s="1"/>
    </row>
    <row r="10100" spans="2:2" x14ac:dyDescent="0.25">
      <c r="B10100" s="1"/>
    </row>
    <row r="10101" spans="2:2" x14ac:dyDescent="0.25">
      <c r="B10101" s="1"/>
    </row>
    <row r="10102" spans="2:2" x14ac:dyDescent="0.25">
      <c r="B10102" s="1"/>
    </row>
    <row r="10103" spans="2:2" x14ac:dyDescent="0.25">
      <c r="B10103" s="1"/>
    </row>
    <row r="10104" spans="2:2" x14ac:dyDescent="0.25">
      <c r="B10104" s="1"/>
    </row>
    <row r="10105" spans="2:2" x14ac:dyDescent="0.25">
      <c r="B10105" s="1"/>
    </row>
    <row r="10106" spans="2:2" x14ac:dyDescent="0.25">
      <c r="B10106" s="1"/>
    </row>
    <row r="10107" spans="2:2" x14ac:dyDescent="0.25">
      <c r="B10107" s="1"/>
    </row>
    <row r="10108" spans="2:2" x14ac:dyDescent="0.25">
      <c r="B10108" s="1"/>
    </row>
    <row r="10109" spans="2:2" x14ac:dyDescent="0.25">
      <c r="B10109" s="1"/>
    </row>
    <row r="10110" spans="2:2" x14ac:dyDescent="0.25">
      <c r="B10110" s="1"/>
    </row>
    <row r="10111" spans="2:2" x14ac:dyDescent="0.25">
      <c r="B10111" s="1"/>
    </row>
    <row r="10112" spans="2:2" x14ac:dyDescent="0.25">
      <c r="B10112" s="1"/>
    </row>
    <row r="10113" spans="2:2" x14ac:dyDescent="0.25">
      <c r="B10113" s="1"/>
    </row>
    <row r="10114" spans="2:2" x14ac:dyDescent="0.25">
      <c r="B10114" s="1"/>
    </row>
    <row r="10115" spans="2:2" x14ac:dyDescent="0.25">
      <c r="B10115" s="1"/>
    </row>
    <row r="10116" spans="2:2" x14ac:dyDescent="0.25">
      <c r="B10116" s="1"/>
    </row>
    <row r="10117" spans="2:2" x14ac:dyDescent="0.25">
      <c r="B10117" s="1"/>
    </row>
    <row r="10118" spans="2:2" x14ac:dyDescent="0.25">
      <c r="B10118" s="1"/>
    </row>
    <row r="10119" spans="2:2" x14ac:dyDescent="0.25">
      <c r="B10119" s="1"/>
    </row>
    <row r="10120" spans="2:2" x14ac:dyDescent="0.25">
      <c r="B10120" s="1"/>
    </row>
    <row r="10121" spans="2:2" x14ac:dyDescent="0.25">
      <c r="B10121" s="1"/>
    </row>
    <row r="10122" spans="2:2" x14ac:dyDescent="0.25">
      <c r="B10122" s="1"/>
    </row>
    <row r="10123" spans="2:2" x14ac:dyDescent="0.25">
      <c r="B10123" s="1"/>
    </row>
    <row r="10124" spans="2:2" x14ac:dyDescent="0.25">
      <c r="B10124" s="1"/>
    </row>
    <row r="10125" spans="2:2" x14ac:dyDescent="0.25">
      <c r="B10125" s="1"/>
    </row>
    <row r="10126" spans="2:2" x14ac:dyDescent="0.25">
      <c r="B10126" s="1"/>
    </row>
    <row r="10127" spans="2:2" x14ac:dyDescent="0.25">
      <c r="B10127" s="1"/>
    </row>
    <row r="10128" spans="2:2" x14ac:dyDescent="0.25">
      <c r="B10128" s="1"/>
    </row>
    <row r="10129" spans="2:2" x14ac:dyDescent="0.25">
      <c r="B10129" s="1"/>
    </row>
    <row r="10130" spans="2:2" x14ac:dyDescent="0.25">
      <c r="B10130" s="1"/>
    </row>
    <row r="10131" spans="2:2" x14ac:dyDescent="0.25">
      <c r="B10131" s="1"/>
    </row>
    <row r="10132" spans="2:2" x14ac:dyDescent="0.25">
      <c r="B10132" s="1"/>
    </row>
    <row r="10133" spans="2:2" x14ac:dyDescent="0.25">
      <c r="B10133" s="1"/>
    </row>
    <row r="10134" spans="2:2" x14ac:dyDescent="0.25">
      <c r="B10134" s="1"/>
    </row>
    <row r="10135" spans="2:2" x14ac:dyDescent="0.25">
      <c r="B10135" s="1"/>
    </row>
    <row r="10136" spans="2:2" x14ac:dyDescent="0.25">
      <c r="B10136" s="1"/>
    </row>
    <row r="10137" spans="2:2" x14ac:dyDescent="0.25">
      <c r="B10137" s="1"/>
    </row>
    <row r="10138" spans="2:2" x14ac:dyDescent="0.25">
      <c r="B10138" s="1"/>
    </row>
    <row r="10139" spans="2:2" x14ac:dyDescent="0.25">
      <c r="B10139" s="1"/>
    </row>
    <row r="10140" spans="2:2" x14ac:dyDescent="0.25">
      <c r="B10140" s="1"/>
    </row>
    <row r="10141" spans="2:2" x14ac:dyDescent="0.25">
      <c r="B10141" s="1"/>
    </row>
    <row r="10142" spans="2:2" x14ac:dyDescent="0.25">
      <c r="B10142" s="1"/>
    </row>
    <row r="10143" spans="2:2" x14ac:dyDescent="0.25">
      <c r="B10143" s="1"/>
    </row>
    <row r="10144" spans="2:2" x14ac:dyDescent="0.25">
      <c r="B10144" s="1"/>
    </row>
    <row r="10145" spans="2:2" x14ac:dyDescent="0.25">
      <c r="B10145" s="1"/>
    </row>
    <row r="10146" spans="2:2" x14ac:dyDescent="0.25">
      <c r="B10146" s="1"/>
    </row>
    <row r="10147" spans="2:2" x14ac:dyDescent="0.25">
      <c r="B10147" s="1"/>
    </row>
    <row r="10148" spans="2:2" x14ac:dyDescent="0.25">
      <c r="B10148" s="1"/>
    </row>
    <row r="10149" spans="2:2" x14ac:dyDescent="0.25">
      <c r="B10149" s="1"/>
    </row>
    <row r="10150" spans="2:2" x14ac:dyDescent="0.25">
      <c r="B10150" s="1"/>
    </row>
    <row r="10151" spans="2:2" x14ac:dyDescent="0.25">
      <c r="B10151" s="1"/>
    </row>
    <row r="10152" spans="2:2" x14ac:dyDescent="0.25">
      <c r="B10152" s="1"/>
    </row>
    <row r="10153" spans="2:2" x14ac:dyDescent="0.25">
      <c r="B10153" s="1"/>
    </row>
    <row r="10154" spans="2:2" x14ac:dyDescent="0.25">
      <c r="B10154" s="1"/>
    </row>
    <row r="10155" spans="2:2" x14ac:dyDescent="0.25">
      <c r="B10155" s="1"/>
    </row>
    <row r="10156" spans="2:2" x14ac:dyDescent="0.25">
      <c r="B10156" s="1"/>
    </row>
    <row r="10157" spans="2:2" x14ac:dyDescent="0.25">
      <c r="B10157" s="1"/>
    </row>
    <row r="10158" spans="2:2" x14ac:dyDescent="0.25">
      <c r="B10158" s="1"/>
    </row>
    <row r="10159" spans="2:2" x14ac:dyDescent="0.25">
      <c r="B10159" s="1"/>
    </row>
    <row r="10160" spans="2:2" x14ac:dyDescent="0.25">
      <c r="B10160" s="1"/>
    </row>
    <row r="10161" spans="2:2" x14ac:dyDescent="0.25">
      <c r="B10161" s="1"/>
    </row>
    <row r="10162" spans="2:2" x14ac:dyDescent="0.25">
      <c r="B10162" s="1"/>
    </row>
    <row r="10163" spans="2:2" x14ac:dyDescent="0.25">
      <c r="B10163" s="1"/>
    </row>
    <row r="10164" spans="2:2" x14ac:dyDescent="0.25">
      <c r="B10164" s="1"/>
    </row>
    <row r="10165" spans="2:2" x14ac:dyDescent="0.25">
      <c r="B10165" s="1"/>
    </row>
    <row r="10166" spans="2:2" x14ac:dyDescent="0.25">
      <c r="B10166" s="1"/>
    </row>
    <row r="10167" spans="2:2" x14ac:dyDescent="0.25">
      <c r="B10167" s="1"/>
    </row>
    <row r="10168" spans="2:2" x14ac:dyDescent="0.25">
      <c r="B10168" s="1"/>
    </row>
    <row r="10169" spans="2:2" x14ac:dyDescent="0.25">
      <c r="B10169" s="1"/>
    </row>
    <row r="10170" spans="2:2" x14ac:dyDescent="0.25">
      <c r="B10170" s="1"/>
    </row>
    <row r="10171" spans="2:2" x14ac:dyDescent="0.25">
      <c r="B10171" s="1"/>
    </row>
    <row r="10172" spans="2:2" x14ac:dyDescent="0.25">
      <c r="B10172" s="1"/>
    </row>
    <row r="10173" spans="2:2" x14ac:dyDescent="0.25">
      <c r="B10173" s="1"/>
    </row>
    <row r="10174" spans="2:2" x14ac:dyDescent="0.25">
      <c r="B10174" s="1"/>
    </row>
    <row r="10175" spans="2:2" x14ac:dyDescent="0.25">
      <c r="B10175" s="1"/>
    </row>
    <row r="10176" spans="2:2" x14ac:dyDescent="0.25">
      <c r="B10176" s="1"/>
    </row>
    <row r="10177" spans="2:2" x14ac:dyDescent="0.25">
      <c r="B10177" s="1"/>
    </row>
    <row r="10178" spans="2:2" x14ac:dyDescent="0.25">
      <c r="B10178" s="1"/>
    </row>
    <row r="10179" spans="2:2" x14ac:dyDescent="0.25">
      <c r="B10179" s="1"/>
    </row>
    <row r="10180" spans="2:2" x14ac:dyDescent="0.25">
      <c r="B10180" s="1"/>
    </row>
    <row r="10181" spans="2:2" x14ac:dyDescent="0.25">
      <c r="B10181" s="1"/>
    </row>
    <row r="10182" spans="2:2" x14ac:dyDescent="0.25">
      <c r="B10182" s="1"/>
    </row>
    <row r="10183" spans="2:2" x14ac:dyDescent="0.25">
      <c r="B10183" s="1"/>
    </row>
    <row r="10184" spans="2:2" x14ac:dyDescent="0.25">
      <c r="B10184" s="1"/>
    </row>
    <row r="10185" spans="2:2" x14ac:dyDescent="0.25">
      <c r="B10185" s="1"/>
    </row>
    <row r="10186" spans="2:2" x14ac:dyDescent="0.25">
      <c r="B10186" s="1"/>
    </row>
    <row r="10187" spans="2:2" x14ac:dyDescent="0.25">
      <c r="B10187" s="1"/>
    </row>
    <row r="10188" spans="2:2" x14ac:dyDescent="0.25">
      <c r="B10188" s="1"/>
    </row>
    <row r="10189" spans="2:2" x14ac:dyDescent="0.25">
      <c r="B10189" s="1"/>
    </row>
    <row r="10190" spans="2:2" x14ac:dyDescent="0.25">
      <c r="B10190" s="1"/>
    </row>
    <row r="10191" spans="2:2" x14ac:dyDescent="0.25">
      <c r="B10191" s="1"/>
    </row>
    <row r="10192" spans="2:2" x14ac:dyDescent="0.25">
      <c r="B10192" s="1"/>
    </row>
    <row r="10193" spans="2:2" x14ac:dyDescent="0.25">
      <c r="B10193" s="1"/>
    </row>
    <row r="10194" spans="2:2" x14ac:dyDescent="0.25">
      <c r="B10194" s="1"/>
    </row>
    <row r="10195" spans="2:2" x14ac:dyDescent="0.25">
      <c r="B10195" s="1"/>
    </row>
    <row r="10196" spans="2:2" x14ac:dyDescent="0.25">
      <c r="B10196" s="1"/>
    </row>
    <row r="10197" spans="2:2" x14ac:dyDescent="0.25">
      <c r="B10197" s="1"/>
    </row>
    <row r="10198" spans="2:2" x14ac:dyDescent="0.25">
      <c r="B10198" s="1"/>
    </row>
    <row r="10199" spans="2:2" x14ac:dyDescent="0.25">
      <c r="B10199" s="1"/>
    </row>
    <row r="10200" spans="2:2" x14ac:dyDescent="0.25">
      <c r="B10200" s="1"/>
    </row>
    <row r="10201" spans="2:2" x14ac:dyDescent="0.25">
      <c r="B10201" s="1"/>
    </row>
    <row r="10202" spans="2:2" x14ac:dyDescent="0.25">
      <c r="B10202" s="1"/>
    </row>
    <row r="10203" spans="2:2" x14ac:dyDescent="0.25">
      <c r="B10203" s="1"/>
    </row>
    <row r="10204" spans="2:2" x14ac:dyDescent="0.25">
      <c r="B10204" s="1"/>
    </row>
    <row r="10205" spans="2:2" x14ac:dyDescent="0.25">
      <c r="B10205" s="1"/>
    </row>
    <row r="10206" spans="2:2" x14ac:dyDescent="0.25">
      <c r="B10206" s="1"/>
    </row>
    <row r="10207" spans="2:2" x14ac:dyDescent="0.25">
      <c r="B10207" s="1"/>
    </row>
    <row r="10208" spans="2:2" x14ac:dyDescent="0.25">
      <c r="B10208" s="1"/>
    </row>
    <row r="10209" spans="2:2" x14ac:dyDescent="0.25">
      <c r="B10209" s="1"/>
    </row>
    <row r="10210" spans="2:2" x14ac:dyDescent="0.25">
      <c r="B10210" s="1"/>
    </row>
    <row r="10211" spans="2:2" x14ac:dyDescent="0.25">
      <c r="B10211" s="1"/>
    </row>
    <row r="10212" spans="2:2" x14ac:dyDescent="0.25">
      <c r="B10212" s="1"/>
    </row>
    <row r="10213" spans="2:2" x14ac:dyDescent="0.25">
      <c r="B10213" s="1"/>
    </row>
    <row r="10214" spans="2:2" x14ac:dyDescent="0.25">
      <c r="B10214" s="1"/>
    </row>
    <row r="10215" spans="2:2" x14ac:dyDescent="0.25">
      <c r="B10215" s="1"/>
    </row>
    <row r="10216" spans="2:2" x14ac:dyDescent="0.25">
      <c r="B10216" s="1"/>
    </row>
    <row r="10217" spans="2:2" x14ac:dyDescent="0.25">
      <c r="B10217" s="1"/>
    </row>
    <row r="10218" spans="2:2" x14ac:dyDescent="0.25">
      <c r="B10218" s="1"/>
    </row>
    <row r="10219" spans="2:2" x14ac:dyDescent="0.25">
      <c r="B10219" s="1"/>
    </row>
    <row r="10220" spans="2:2" x14ac:dyDescent="0.25">
      <c r="B10220" s="1"/>
    </row>
    <row r="10221" spans="2:2" x14ac:dyDescent="0.25">
      <c r="B10221" s="1"/>
    </row>
    <row r="10222" spans="2:2" x14ac:dyDescent="0.25">
      <c r="B10222" s="1"/>
    </row>
    <row r="10223" spans="2:2" x14ac:dyDescent="0.25">
      <c r="B10223" s="1"/>
    </row>
    <row r="10224" spans="2:2" x14ac:dyDescent="0.25">
      <c r="B10224" s="1"/>
    </row>
    <row r="10225" spans="2:2" x14ac:dyDescent="0.25">
      <c r="B10225" s="1"/>
    </row>
    <row r="10226" spans="2:2" x14ac:dyDescent="0.25">
      <c r="B10226" s="1"/>
    </row>
    <row r="10227" spans="2:2" x14ac:dyDescent="0.25">
      <c r="B10227" s="1"/>
    </row>
    <row r="10228" spans="2:2" x14ac:dyDescent="0.25">
      <c r="B10228" s="1"/>
    </row>
    <row r="10229" spans="2:2" x14ac:dyDescent="0.25">
      <c r="B10229" s="1"/>
    </row>
    <row r="10230" spans="2:2" x14ac:dyDescent="0.25">
      <c r="B10230" s="1"/>
    </row>
    <row r="10231" spans="2:2" x14ac:dyDescent="0.25">
      <c r="B10231" s="1"/>
    </row>
    <row r="10232" spans="2:2" x14ac:dyDescent="0.25">
      <c r="B10232" s="1"/>
    </row>
    <row r="10233" spans="2:2" x14ac:dyDescent="0.25">
      <c r="B10233" s="1"/>
    </row>
    <row r="10234" spans="2:2" x14ac:dyDescent="0.25">
      <c r="B10234" s="1"/>
    </row>
    <row r="10235" spans="2:2" x14ac:dyDescent="0.25">
      <c r="B10235" s="1"/>
    </row>
    <row r="10236" spans="2:2" x14ac:dyDescent="0.25">
      <c r="B10236" s="1"/>
    </row>
    <row r="10237" spans="2:2" x14ac:dyDescent="0.25">
      <c r="B10237" s="1"/>
    </row>
    <row r="10238" spans="2:2" x14ac:dyDescent="0.25">
      <c r="B10238" s="1"/>
    </row>
    <row r="10239" spans="2:2" x14ac:dyDescent="0.25">
      <c r="B10239" s="1"/>
    </row>
    <row r="10240" spans="2:2" x14ac:dyDescent="0.25">
      <c r="B10240" s="1"/>
    </row>
    <row r="10241" spans="2:2" x14ac:dyDescent="0.25">
      <c r="B10241" s="1"/>
    </row>
    <row r="10242" spans="2:2" x14ac:dyDescent="0.25">
      <c r="B10242" s="1"/>
    </row>
    <row r="10243" spans="2:2" x14ac:dyDescent="0.25">
      <c r="B10243" s="1"/>
    </row>
    <row r="10244" spans="2:2" x14ac:dyDescent="0.25">
      <c r="B10244" s="1"/>
    </row>
    <row r="10245" spans="2:2" x14ac:dyDescent="0.25">
      <c r="B10245" s="1"/>
    </row>
    <row r="10246" spans="2:2" x14ac:dyDescent="0.25">
      <c r="B10246" s="1"/>
    </row>
    <row r="10247" spans="2:2" x14ac:dyDescent="0.25">
      <c r="B10247" s="1"/>
    </row>
    <row r="10248" spans="2:2" x14ac:dyDescent="0.25">
      <c r="B10248" s="1"/>
    </row>
    <row r="10249" spans="2:2" x14ac:dyDescent="0.25">
      <c r="B10249" s="1"/>
    </row>
    <row r="10250" spans="2:2" x14ac:dyDescent="0.25">
      <c r="B10250" s="1"/>
    </row>
    <row r="10251" spans="2:2" x14ac:dyDescent="0.25">
      <c r="B10251" s="1"/>
    </row>
    <row r="10252" spans="2:2" x14ac:dyDescent="0.25">
      <c r="B10252" s="1"/>
    </row>
    <row r="10253" spans="2:2" x14ac:dyDescent="0.25">
      <c r="B10253" s="1"/>
    </row>
    <row r="10254" spans="2:2" x14ac:dyDescent="0.25">
      <c r="B10254" s="1"/>
    </row>
    <row r="10255" spans="2:2" x14ac:dyDescent="0.25">
      <c r="B10255" s="1"/>
    </row>
    <row r="10256" spans="2:2" x14ac:dyDescent="0.25">
      <c r="B10256" s="1"/>
    </row>
    <row r="10257" spans="2:2" x14ac:dyDescent="0.25">
      <c r="B10257" s="1"/>
    </row>
    <row r="10258" spans="2:2" x14ac:dyDescent="0.25">
      <c r="B10258" s="1"/>
    </row>
    <row r="10259" spans="2:2" x14ac:dyDescent="0.25">
      <c r="B10259" s="1"/>
    </row>
    <row r="10260" spans="2:2" x14ac:dyDescent="0.25">
      <c r="B10260" s="1"/>
    </row>
    <row r="10261" spans="2:2" x14ac:dyDescent="0.25">
      <c r="B10261" s="1"/>
    </row>
    <row r="10262" spans="2:2" x14ac:dyDescent="0.25">
      <c r="B10262" s="1"/>
    </row>
    <row r="10263" spans="2:2" x14ac:dyDescent="0.25">
      <c r="B10263" s="1"/>
    </row>
    <row r="10264" spans="2:2" x14ac:dyDescent="0.25">
      <c r="B10264" s="1"/>
    </row>
    <row r="10265" spans="2:2" x14ac:dyDescent="0.25">
      <c r="B10265" s="1"/>
    </row>
    <row r="10266" spans="2:2" x14ac:dyDescent="0.25">
      <c r="B10266" s="1"/>
    </row>
    <row r="10267" spans="2:2" x14ac:dyDescent="0.25">
      <c r="B10267" s="1"/>
    </row>
    <row r="10268" spans="2:2" x14ac:dyDescent="0.25">
      <c r="B10268" s="1"/>
    </row>
    <row r="10269" spans="2:2" x14ac:dyDescent="0.25">
      <c r="B10269" s="1"/>
    </row>
    <row r="10270" spans="2:2" x14ac:dyDescent="0.25">
      <c r="B10270" s="1"/>
    </row>
    <row r="10271" spans="2:2" x14ac:dyDescent="0.25">
      <c r="B10271" s="1"/>
    </row>
    <row r="10272" spans="2:2" x14ac:dyDescent="0.25">
      <c r="B10272" s="1"/>
    </row>
    <row r="10273" spans="2:2" x14ac:dyDescent="0.25">
      <c r="B10273" s="1"/>
    </row>
    <row r="10274" spans="2:2" x14ac:dyDescent="0.25">
      <c r="B10274" s="1"/>
    </row>
    <row r="10275" spans="2:2" x14ac:dyDescent="0.25">
      <c r="B10275" s="1"/>
    </row>
    <row r="10276" spans="2:2" x14ac:dyDescent="0.25">
      <c r="B10276" s="1"/>
    </row>
    <row r="10277" spans="2:2" x14ac:dyDescent="0.25">
      <c r="B10277" s="1"/>
    </row>
    <row r="10278" spans="2:2" x14ac:dyDescent="0.25">
      <c r="B10278" s="1"/>
    </row>
    <row r="10279" spans="2:2" x14ac:dyDescent="0.25">
      <c r="B10279" s="1"/>
    </row>
    <row r="10280" spans="2:2" x14ac:dyDescent="0.25">
      <c r="B10280" s="1"/>
    </row>
    <row r="10281" spans="2:2" x14ac:dyDescent="0.25">
      <c r="B10281" s="1"/>
    </row>
    <row r="10282" spans="2:2" x14ac:dyDescent="0.25">
      <c r="B10282" s="1"/>
    </row>
    <row r="10283" spans="2:2" x14ac:dyDescent="0.25">
      <c r="B10283" s="1"/>
    </row>
    <row r="10284" spans="2:2" x14ac:dyDescent="0.25">
      <c r="B10284" s="1"/>
    </row>
    <row r="10285" spans="2:2" x14ac:dyDescent="0.25">
      <c r="B10285" s="1"/>
    </row>
    <row r="10286" spans="2:2" x14ac:dyDescent="0.25">
      <c r="B10286" s="1"/>
    </row>
    <row r="10287" spans="2:2" x14ac:dyDescent="0.25">
      <c r="B10287" s="1"/>
    </row>
    <row r="10288" spans="2:2" x14ac:dyDescent="0.25">
      <c r="B10288" s="1"/>
    </row>
    <row r="10289" spans="2:2" x14ac:dyDescent="0.25">
      <c r="B10289" s="1"/>
    </row>
    <row r="10290" spans="2:2" x14ac:dyDescent="0.25">
      <c r="B10290" s="1"/>
    </row>
    <row r="10291" spans="2:2" x14ac:dyDescent="0.25">
      <c r="B10291" s="1"/>
    </row>
    <row r="10292" spans="2:2" x14ac:dyDescent="0.25">
      <c r="B10292" s="1"/>
    </row>
    <row r="10293" spans="2:2" x14ac:dyDescent="0.25">
      <c r="B10293" s="1"/>
    </row>
    <row r="10294" spans="2:2" x14ac:dyDescent="0.25">
      <c r="B10294" s="1"/>
    </row>
    <row r="10295" spans="2:2" x14ac:dyDescent="0.25">
      <c r="B10295" s="1"/>
    </row>
    <row r="10296" spans="2:2" x14ac:dyDescent="0.25">
      <c r="B10296" s="1"/>
    </row>
    <row r="10297" spans="2:2" x14ac:dyDescent="0.25">
      <c r="B10297" s="1"/>
    </row>
    <row r="10298" spans="2:2" x14ac:dyDescent="0.25">
      <c r="B10298" s="1"/>
    </row>
    <row r="10299" spans="2:2" x14ac:dyDescent="0.25">
      <c r="B10299" s="1"/>
    </row>
    <row r="10300" spans="2:2" x14ac:dyDescent="0.25">
      <c r="B10300" s="1"/>
    </row>
    <row r="10301" spans="2:2" x14ac:dyDescent="0.25">
      <c r="B10301" s="1"/>
    </row>
    <row r="10302" spans="2:2" x14ac:dyDescent="0.25">
      <c r="B10302" s="1"/>
    </row>
    <row r="10303" spans="2:2" x14ac:dyDescent="0.25">
      <c r="B10303" s="1"/>
    </row>
    <row r="10304" spans="2:2" x14ac:dyDescent="0.25">
      <c r="B10304" s="1"/>
    </row>
    <row r="10305" spans="2:2" x14ac:dyDescent="0.25">
      <c r="B10305" s="1"/>
    </row>
    <row r="10306" spans="2:2" x14ac:dyDescent="0.25">
      <c r="B10306" s="1"/>
    </row>
    <row r="10307" spans="2:2" x14ac:dyDescent="0.25">
      <c r="B10307" s="1"/>
    </row>
    <row r="10308" spans="2:2" x14ac:dyDescent="0.25">
      <c r="B10308" s="1"/>
    </row>
    <row r="10309" spans="2:2" x14ac:dyDescent="0.25">
      <c r="B10309" s="1"/>
    </row>
    <row r="10310" spans="2:2" x14ac:dyDescent="0.25">
      <c r="B10310" s="1"/>
    </row>
    <row r="10311" spans="2:2" x14ac:dyDescent="0.25">
      <c r="B10311" s="1"/>
    </row>
    <row r="10312" spans="2:2" x14ac:dyDescent="0.25">
      <c r="B10312" s="1"/>
    </row>
    <row r="10313" spans="2:2" x14ac:dyDescent="0.25">
      <c r="B10313" s="1"/>
    </row>
    <row r="10314" spans="2:2" x14ac:dyDescent="0.25">
      <c r="B10314" s="1"/>
    </row>
    <row r="10315" spans="2:2" x14ac:dyDescent="0.25">
      <c r="B10315" s="1"/>
    </row>
    <row r="10316" spans="2:2" x14ac:dyDescent="0.25">
      <c r="B10316" s="1"/>
    </row>
    <row r="10317" spans="2:2" x14ac:dyDescent="0.25">
      <c r="B10317" s="1"/>
    </row>
    <row r="10318" spans="2:2" x14ac:dyDescent="0.25">
      <c r="B10318" s="1"/>
    </row>
    <row r="10319" spans="2:2" x14ac:dyDescent="0.25">
      <c r="B10319" s="1"/>
    </row>
    <row r="10320" spans="2:2" x14ac:dyDescent="0.25">
      <c r="B10320" s="1"/>
    </row>
    <row r="10321" spans="2:2" x14ac:dyDescent="0.25">
      <c r="B10321" s="1"/>
    </row>
    <row r="10322" spans="2:2" x14ac:dyDescent="0.25">
      <c r="B10322" s="1"/>
    </row>
    <row r="10323" spans="2:2" x14ac:dyDescent="0.25">
      <c r="B10323" s="1"/>
    </row>
    <row r="10324" spans="2:2" x14ac:dyDescent="0.25">
      <c r="B10324" s="1"/>
    </row>
    <row r="10325" spans="2:2" x14ac:dyDescent="0.25">
      <c r="B10325" s="1"/>
    </row>
    <row r="10326" spans="2:2" x14ac:dyDescent="0.25">
      <c r="B10326" s="1"/>
    </row>
    <row r="10327" spans="2:2" x14ac:dyDescent="0.25">
      <c r="B10327" s="1"/>
    </row>
    <row r="10328" spans="2:2" x14ac:dyDescent="0.25">
      <c r="B10328" s="1"/>
    </row>
    <row r="10329" spans="2:2" x14ac:dyDescent="0.25">
      <c r="B10329" s="1"/>
    </row>
    <row r="10330" spans="2:2" x14ac:dyDescent="0.25">
      <c r="B10330" s="1"/>
    </row>
    <row r="10331" spans="2:2" x14ac:dyDescent="0.25">
      <c r="B10331" s="1"/>
    </row>
    <row r="10332" spans="2:2" x14ac:dyDescent="0.25">
      <c r="B10332" s="1"/>
    </row>
    <row r="10333" spans="2:2" x14ac:dyDescent="0.25">
      <c r="B10333" s="1"/>
    </row>
    <row r="10334" spans="2:2" x14ac:dyDescent="0.25">
      <c r="B10334" s="1"/>
    </row>
    <row r="10335" spans="2:2" x14ac:dyDescent="0.25">
      <c r="B10335" s="1"/>
    </row>
    <row r="10336" spans="2:2" x14ac:dyDescent="0.25">
      <c r="B10336" s="1"/>
    </row>
    <row r="10337" spans="2:2" x14ac:dyDescent="0.25">
      <c r="B10337" s="1"/>
    </row>
    <row r="10338" spans="2:2" x14ac:dyDescent="0.25">
      <c r="B10338" s="1"/>
    </row>
    <row r="10339" spans="2:2" x14ac:dyDescent="0.25">
      <c r="B10339" s="1"/>
    </row>
    <row r="10340" spans="2:2" x14ac:dyDescent="0.25">
      <c r="B10340" s="1"/>
    </row>
    <row r="10341" spans="2:2" x14ac:dyDescent="0.25">
      <c r="B10341" s="1"/>
    </row>
    <row r="10342" spans="2:2" x14ac:dyDescent="0.25">
      <c r="B10342" s="1"/>
    </row>
    <row r="10343" spans="2:2" x14ac:dyDescent="0.25">
      <c r="B10343" s="1"/>
    </row>
    <row r="10344" spans="2:2" x14ac:dyDescent="0.25">
      <c r="B10344" s="1"/>
    </row>
    <row r="10345" spans="2:2" x14ac:dyDescent="0.25">
      <c r="B10345" s="1"/>
    </row>
    <row r="10346" spans="2:2" x14ac:dyDescent="0.25">
      <c r="B10346" s="1"/>
    </row>
    <row r="10347" spans="2:2" x14ac:dyDescent="0.25">
      <c r="B10347" s="1"/>
    </row>
    <row r="10348" spans="2:2" x14ac:dyDescent="0.25">
      <c r="B10348" s="1"/>
    </row>
    <row r="10349" spans="2:2" x14ac:dyDescent="0.25">
      <c r="B10349" s="1"/>
    </row>
    <row r="10350" spans="2:2" x14ac:dyDescent="0.25">
      <c r="B10350" s="1"/>
    </row>
    <row r="10351" spans="2:2" x14ac:dyDescent="0.25">
      <c r="B10351" s="1"/>
    </row>
    <row r="10352" spans="2:2" x14ac:dyDescent="0.25">
      <c r="B10352" s="1"/>
    </row>
    <row r="10353" spans="2:2" x14ac:dyDescent="0.25">
      <c r="B10353" s="1"/>
    </row>
    <row r="10354" spans="2:2" x14ac:dyDescent="0.25">
      <c r="B10354" s="1"/>
    </row>
    <row r="10355" spans="2:2" x14ac:dyDescent="0.25">
      <c r="B10355" s="1"/>
    </row>
    <row r="10356" spans="2:2" x14ac:dyDescent="0.25">
      <c r="B10356" s="1"/>
    </row>
    <row r="10357" spans="2:2" x14ac:dyDescent="0.25">
      <c r="B10357" s="1"/>
    </row>
    <row r="10358" spans="2:2" x14ac:dyDescent="0.25">
      <c r="B10358" s="1"/>
    </row>
    <row r="10359" spans="2:2" x14ac:dyDescent="0.25">
      <c r="B10359" s="1"/>
    </row>
    <row r="10360" spans="2:2" x14ac:dyDescent="0.25">
      <c r="B10360" s="1"/>
    </row>
    <row r="10361" spans="2:2" x14ac:dyDescent="0.25">
      <c r="B10361" s="1"/>
    </row>
    <row r="10362" spans="2:2" x14ac:dyDescent="0.25">
      <c r="B10362" s="1"/>
    </row>
    <row r="10363" spans="2:2" x14ac:dyDescent="0.25">
      <c r="B10363" s="1"/>
    </row>
    <row r="10364" spans="2:2" x14ac:dyDescent="0.25">
      <c r="B10364" s="1"/>
    </row>
    <row r="10365" spans="2:2" x14ac:dyDescent="0.25">
      <c r="B10365" s="1"/>
    </row>
    <row r="10366" spans="2:2" x14ac:dyDescent="0.25">
      <c r="B10366" s="1"/>
    </row>
    <row r="10367" spans="2:2" x14ac:dyDescent="0.25">
      <c r="B10367" s="1"/>
    </row>
    <row r="10368" spans="2:2" x14ac:dyDescent="0.25">
      <c r="B10368" s="1"/>
    </row>
    <row r="10369" spans="2:2" x14ac:dyDescent="0.25">
      <c r="B10369" s="1"/>
    </row>
    <row r="10370" spans="2:2" x14ac:dyDescent="0.25">
      <c r="B10370" s="1"/>
    </row>
    <row r="10371" spans="2:2" x14ac:dyDescent="0.25">
      <c r="B10371" s="1"/>
    </row>
    <row r="10372" spans="2:2" x14ac:dyDescent="0.25">
      <c r="B10372" s="1"/>
    </row>
    <row r="10373" spans="2:2" x14ac:dyDescent="0.25">
      <c r="B10373" s="1"/>
    </row>
    <row r="10374" spans="2:2" x14ac:dyDescent="0.25">
      <c r="B10374" s="1"/>
    </row>
    <row r="10375" spans="2:2" x14ac:dyDescent="0.25">
      <c r="B10375" s="1"/>
    </row>
    <row r="10376" spans="2:2" x14ac:dyDescent="0.25">
      <c r="B10376" s="1"/>
    </row>
    <row r="10377" spans="2:2" x14ac:dyDescent="0.25">
      <c r="B10377" s="1"/>
    </row>
    <row r="10378" spans="2:2" x14ac:dyDescent="0.25">
      <c r="B10378" s="1"/>
    </row>
    <row r="10379" spans="2:2" x14ac:dyDescent="0.25">
      <c r="B10379" s="1"/>
    </row>
    <row r="10380" spans="2:2" x14ac:dyDescent="0.25">
      <c r="B10380" s="1"/>
    </row>
    <row r="10381" spans="2:2" x14ac:dyDescent="0.25">
      <c r="B10381" s="1"/>
    </row>
    <row r="10382" spans="2:2" x14ac:dyDescent="0.25">
      <c r="B10382" s="1"/>
    </row>
    <row r="10383" spans="2:2" x14ac:dyDescent="0.25">
      <c r="B10383" s="1"/>
    </row>
    <row r="10384" spans="2:2" x14ac:dyDescent="0.25">
      <c r="B10384" s="1"/>
    </row>
    <row r="10385" spans="2:2" x14ac:dyDescent="0.25">
      <c r="B10385" s="1"/>
    </row>
    <row r="10386" spans="2:2" x14ac:dyDescent="0.25">
      <c r="B10386" s="1"/>
    </row>
    <row r="10387" spans="2:2" x14ac:dyDescent="0.25">
      <c r="B10387" s="1"/>
    </row>
    <row r="10388" spans="2:2" x14ac:dyDescent="0.25">
      <c r="B10388" s="1"/>
    </row>
    <row r="10389" spans="2:2" x14ac:dyDescent="0.25">
      <c r="B10389" s="1"/>
    </row>
    <row r="10390" spans="2:2" x14ac:dyDescent="0.25">
      <c r="B10390" s="1"/>
    </row>
    <row r="10391" spans="2:2" x14ac:dyDescent="0.25">
      <c r="B10391" s="1"/>
    </row>
    <row r="10392" spans="2:2" x14ac:dyDescent="0.25">
      <c r="B10392" s="1"/>
    </row>
    <row r="10393" spans="2:2" x14ac:dyDescent="0.25">
      <c r="B10393" s="1"/>
    </row>
    <row r="10394" spans="2:2" x14ac:dyDescent="0.25">
      <c r="B10394" s="1"/>
    </row>
    <row r="10395" spans="2:2" x14ac:dyDescent="0.25">
      <c r="B10395" s="1"/>
    </row>
    <row r="10396" spans="2:2" x14ac:dyDescent="0.25">
      <c r="B10396" s="1"/>
    </row>
    <row r="10397" spans="2:2" x14ac:dyDescent="0.25">
      <c r="B10397" s="1"/>
    </row>
    <row r="10398" spans="2:2" x14ac:dyDescent="0.25">
      <c r="B10398" s="1"/>
    </row>
    <row r="10399" spans="2:2" x14ac:dyDescent="0.25">
      <c r="B10399" s="1"/>
    </row>
    <row r="10400" spans="2:2" x14ac:dyDescent="0.25">
      <c r="B10400" s="1"/>
    </row>
    <row r="10401" spans="2:2" x14ac:dyDescent="0.25">
      <c r="B10401" s="1"/>
    </row>
    <row r="10402" spans="2:2" x14ac:dyDescent="0.25">
      <c r="B10402" s="1"/>
    </row>
    <row r="10403" spans="2:2" x14ac:dyDescent="0.25">
      <c r="B10403" s="1"/>
    </row>
    <row r="10404" spans="2:2" x14ac:dyDescent="0.25">
      <c r="B10404" s="1"/>
    </row>
    <row r="10405" spans="2:2" x14ac:dyDescent="0.25">
      <c r="B10405" s="1"/>
    </row>
    <row r="10406" spans="2:2" x14ac:dyDescent="0.25">
      <c r="B10406" s="1"/>
    </row>
    <row r="10407" spans="2:2" x14ac:dyDescent="0.25">
      <c r="B10407" s="1"/>
    </row>
    <row r="10408" spans="2:2" x14ac:dyDescent="0.25">
      <c r="B10408" s="1"/>
    </row>
    <row r="10409" spans="2:2" x14ac:dyDescent="0.25">
      <c r="B10409" s="1"/>
    </row>
    <row r="10410" spans="2:2" x14ac:dyDescent="0.25">
      <c r="B10410" s="1"/>
    </row>
    <row r="10411" spans="2:2" x14ac:dyDescent="0.25">
      <c r="B10411" s="1"/>
    </row>
    <row r="10412" spans="2:2" x14ac:dyDescent="0.25">
      <c r="B10412" s="1"/>
    </row>
    <row r="10413" spans="2:2" x14ac:dyDescent="0.25">
      <c r="B10413" s="1"/>
    </row>
    <row r="10414" spans="2:2" x14ac:dyDescent="0.25">
      <c r="B10414" s="1"/>
    </row>
    <row r="10415" spans="2:2" x14ac:dyDescent="0.25">
      <c r="B10415" s="1"/>
    </row>
    <row r="10416" spans="2:2" x14ac:dyDescent="0.25">
      <c r="B10416" s="1"/>
    </row>
    <row r="10417" spans="2:2" x14ac:dyDescent="0.25">
      <c r="B10417" s="1"/>
    </row>
    <row r="10418" spans="2:2" x14ac:dyDescent="0.25">
      <c r="B10418" s="1"/>
    </row>
    <row r="10419" spans="2:2" x14ac:dyDescent="0.25">
      <c r="B10419" s="1"/>
    </row>
    <row r="10420" spans="2:2" x14ac:dyDescent="0.25">
      <c r="B10420" s="1"/>
    </row>
    <row r="10421" spans="2:2" x14ac:dyDescent="0.25">
      <c r="B10421" s="1"/>
    </row>
    <row r="10422" spans="2:2" x14ac:dyDescent="0.25">
      <c r="B10422" s="1"/>
    </row>
    <row r="10423" spans="2:2" x14ac:dyDescent="0.25">
      <c r="B10423" s="1"/>
    </row>
    <row r="10424" spans="2:2" x14ac:dyDescent="0.25">
      <c r="B10424" s="1"/>
    </row>
    <row r="10425" spans="2:2" x14ac:dyDescent="0.25">
      <c r="B10425" s="1"/>
    </row>
    <row r="10426" spans="2:2" x14ac:dyDescent="0.25">
      <c r="B10426" s="1"/>
    </row>
    <row r="10427" spans="2:2" x14ac:dyDescent="0.25">
      <c r="B10427" s="1"/>
    </row>
    <row r="10428" spans="2:2" x14ac:dyDescent="0.25">
      <c r="B10428" s="1"/>
    </row>
    <row r="10429" spans="2:2" x14ac:dyDescent="0.25">
      <c r="B10429" s="1"/>
    </row>
    <row r="10430" spans="2:2" x14ac:dyDescent="0.25">
      <c r="B10430" s="1"/>
    </row>
    <row r="10431" spans="2:2" x14ac:dyDescent="0.25">
      <c r="B10431" s="1"/>
    </row>
    <row r="10432" spans="2:2" x14ac:dyDescent="0.25">
      <c r="B10432" s="1"/>
    </row>
    <row r="10433" spans="2:2" x14ac:dyDescent="0.25">
      <c r="B10433" s="1"/>
    </row>
    <row r="10434" spans="2:2" x14ac:dyDescent="0.25">
      <c r="B10434" s="1"/>
    </row>
    <row r="10435" spans="2:2" x14ac:dyDescent="0.25">
      <c r="B10435" s="1"/>
    </row>
    <row r="10436" spans="2:2" x14ac:dyDescent="0.25">
      <c r="B10436" s="1"/>
    </row>
    <row r="10437" spans="2:2" x14ac:dyDescent="0.25">
      <c r="B10437" s="1"/>
    </row>
    <row r="10438" spans="2:2" x14ac:dyDescent="0.25">
      <c r="B10438" s="1"/>
    </row>
    <row r="10439" spans="2:2" x14ac:dyDescent="0.25">
      <c r="B10439" s="1"/>
    </row>
    <row r="10440" spans="2:2" x14ac:dyDescent="0.25">
      <c r="B10440" s="1"/>
    </row>
    <row r="10441" spans="2:2" x14ac:dyDescent="0.25">
      <c r="B10441" s="1"/>
    </row>
    <row r="10442" spans="2:2" x14ac:dyDescent="0.25">
      <c r="B10442" s="1"/>
    </row>
    <row r="10443" spans="2:2" x14ac:dyDescent="0.25">
      <c r="B10443" s="1"/>
    </row>
    <row r="10444" spans="2:2" x14ac:dyDescent="0.25">
      <c r="B10444" s="1"/>
    </row>
    <row r="10445" spans="2:2" x14ac:dyDescent="0.25">
      <c r="B10445" s="1"/>
    </row>
    <row r="10446" spans="2:2" x14ac:dyDescent="0.25">
      <c r="B10446" s="1"/>
    </row>
    <row r="10447" spans="2:2" x14ac:dyDescent="0.25">
      <c r="B10447" s="1"/>
    </row>
    <row r="10448" spans="2:2" x14ac:dyDescent="0.25">
      <c r="B10448" s="1"/>
    </row>
    <row r="10449" spans="2:2" x14ac:dyDescent="0.25">
      <c r="B10449" s="1"/>
    </row>
    <row r="10450" spans="2:2" x14ac:dyDescent="0.25">
      <c r="B10450" s="1"/>
    </row>
    <row r="10451" spans="2:2" x14ac:dyDescent="0.25">
      <c r="B10451" s="1"/>
    </row>
    <row r="10452" spans="2:2" x14ac:dyDescent="0.25">
      <c r="B10452" s="1"/>
    </row>
    <row r="10453" spans="2:2" x14ac:dyDescent="0.25">
      <c r="B10453" s="1"/>
    </row>
    <row r="10454" spans="2:2" x14ac:dyDescent="0.25">
      <c r="B10454" s="1"/>
    </row>
    <row r="10455" spans="2:2" x14ac:dyDescent="0.25">
      <c r="B10455" s="1"/>
    </row>
    <row r="10456" spans="2:2" x14ac:dyDescent="0.25">
      <c r="B10456" s="1"/>
    </row>
    <row r="10457" spans="2:2" x14ac:dyDescent="0.25">
      <c r="B10457" s="1"/>
    </row>
    <row r="10458" spans="2:2" x14ac:dyDescent="0.25">
      <c r="B10458" s="1"/>
    </row>
    <row r="10459" spans="2:2" x14ac:dyDescent="0.25">
      <c r="B10459" s="1"/>
    </row>
    <row r="10460" spans="2:2" x14ac:dyDescent="0.25">
      <c r="B10460" s="1"/>
    </row>
    <row r="10461" spans="2:2" x14ac:dyDescent="0.25">
      <c r="B10461" s="1"/>
    </row>
    <row r="10462" spans="2:2" x14ac:dyDescent="0.25">
      <c r="B10462" s="1"/>
    </row>
    <row r="10463" spans="2:2" x14ac:dyDescent="0.25">
      <c r="B10463" s="1"/>
    </row>
    <row r="10464" spans="2:2" x14ac:dyDescent="0.25">
      <c r="B10464" s="1"/>
    </row>
    <row r="10465" spans="2:2" x14ac:dyDescent="0.25">
      <c r="B10465" s="1"/>
    </row>
    <row r="10466" spans="2:2" x14ac:dyDescent="0.25">
      <c r="B10466" s="1"/>
    </row>
    <row r="10467" spans="2:2" x14ac:dyDescent="0.25">
      <c r="B10467" s="1"/>
    </row>
    <row r="10468" spans="2:2" x14ac:dyDescent="0.25">
      <c r="B10468" s="1"/>
    </row>
    <row r="10469" spans="2:2" x14ac:dyDescent="0.25">
      <c r="B10469" s="1"/>
    </row>
    <row r="10470" spans="2:2" x14ac:dyDescent="0.25">
      <c r="B10470" s="1"/>
    </row>
    <row r="10471" spans="2:2" x14ac:dyDescent="0.25">
      <c r="B10471" s="1"/>
    </row>
    <row r="10472" spans="2:2" x14ac:dyDescent="0.25">
      <c r="B10472" s="1"/>
    </row>
    <row r="10473" spans="2:2" x14ac:dyDescent="0.25">
      <c r="B10473" s="1"/>
    </row>
    <row r="10474" spans="2:2" x14ac:dyDescent="0.25">
      <c r="B10474" s="1"/>
    </row>
    <row r="10475" spans="2:2" x14ac:dyDescent="0.25">
      <c r="B10475" s="1"/>
    </row>
    <row r="10476" spans="2:2" x14ac:dyDescent="0.25">
      <c r="B10476" s="1"/>
    </row>
    <row r="10477" spans="2:2" x14ac:dyDescent="0.25">
      <c r="B10477" s="1"/>
    </row>
    <row r="10478" spans="2:2" x14ac:dyDescent="0.25">
      <c r="B10478" s="1"/>
    </row>
    <row r="10479" spans="2:2" x14ac:dyDescent="0.25">
      <c r="B10479" s="1"/>
    </row>
    <row r="10480" spans="2:2" x14ac:dyDescent="0.25">
      <c r="B10480" s="1"/>
    </row>
    <row r="10481" spans="2:2" x14ac:dyDescent="0.25">
      <c r="B10481" s="1"/>
    </row>
    <row r="10482" spans="2:2" x14ac:dyDescent="0.25">
      <c r="B10482" s="1"/>
    </row>
    <row r="10483" spans="2:2" x14ac:dyDescent="0.25">
      <c r="B10483" s="1"/>
    </row>
    <row r="10484" spans="2:2" x14ac:dyDescent="0.25">
      <c r="B10484" s="1"/>
    </row>
    <row r="10485" spans="2:2" x14ac:dyDescent="0.25">
      <c r="B10485" s="1"/>
    </row>
    <row r="10486" spans="2:2" x14ac:dyDescent="0.25">
      <c r="B10486" s="1"/>
    </row>
    <row r="10487" spans="2:2" x14ac:dyDescent="0.25">
      <c r="B10487" s="1"/>
    </row>
    <row r="10488" spans="2:2" x14ac:dyDescent="0.25">
      <c r="B10488" s="1"/>
    </row>
    <row r="10489" spans="2:2" x14ac:dyDescent="0.25">
      <c r="B10489" s="1"/>
    </row>
    <row r="10490" spans="2:2" x14ac:dyDescent="0.25">
      <c r="B10490" s="1"/>
    </row>
    <row r="10491" spans="2:2" x14ac:dyDescent="0.25">
      <c r="B10491" s="1"/>
    </row>
    <row r="10492" spans="2:2" x14ac:dyDescent="0.25">
      <c r="B10492" s="1"/>
    </row>
    <row r="10493" spans="2:2" x14ac:dyDescent="0.25">
      <c r="B10493" s="1"/>
    </row>
    <row r="10494" spans="2:2" x14ac:dyDescent="0.25">
      <c r="B10494" s="1"/>
    </row>
    <row r="10495" spans="2:2" x14ac:dyDescent="0.25">
      <c r="B10495" s="1"/>
    </row>
    <row r="10496" spans="2:2" x14ac:dyDescent="0.25">
      <c r="B10496" s="1"/>
    </row>
    <row r="10497" spans="2:2" x14ac:dyDescent="0.25">
      <c r="B10497" s="1"/>
    </row>
    <row r="10498" spans="2:2" x14ac:dyDescent="0.25">
      <c r="B10498" s="1"/>
    </row>
    <row r="10499" spans="2:2" x14ac:dyDescent="0.25">
      <c r="B10499" s="1"/>
    </row>
    <row r="10500" spans="2:2" x14ac:dyDescent="0.25">
      <c r="B10500" s="1"/>
    </row>
    <row r="10501" spans="2:2" x14ac:dyDescent="0.25">
      <c r="B10501" s="1"/>
    </row>
    <row r="10502" spans="2:2" x14ac:dyDescent="0.25">
      <c r="B10502" s="1"/>
    </row>
    <row r="10503" spans="2:2" x14ac:dyDescent="0.25">
      <c r="B10503" s="1"/>
    </row>
    <row r="10504" spans="2:2" x14ac:dyDescent="0.25">
      <c r="B10504" s="1"/>
    </row>
    <row r="10505" spans="2:2" x14ac:dyDescent="0.25">
      <c r="B10505" s="1"/>
    </row>
    <row r="10506" spans="2:2" x14ac:dyDescent="0.25">
      <c r="B10506" s="1"/>
    </row>
    <row r="10507" spans="2:2" x14ac:dyDescent="0.25">
      <c r="B10507" s="1"/>
    </row>
    <row r="10508" spans="2:2" x14ac:dyDescent="0.25">
      <c r="B10508" s="1"/>
    </row>
    <row r="10509" spans="2:2" x14ac:dyDescent="0.25">
      <c r="B10509" s="1"/>
    </row>
    <row r="10510" spans="2:2" x14ac:dyDescent="0.25">
      <c r="B10510" s="1"/>
    </row>
    <row r="10511" spans="2:2" x14ac:dyDescent="0.25">
      <c r="B10511" s="1"/>
    </row>
    <row r="10512" spans="2:2" x14ac:dyDescent="0.25">
      <c r="B10512" s="1"/>
    </row>
    <row r="10513" spans="2:2" x14ac:dyDescent="0.25">
      <c r="B10513" s="1"/>
    </row>
    <row r="10514" spans="2:2" x14ac:dyDescent="0.25">
      <c r="B10514" s="1"/>
    </row>
    <row r="10515" spans="2:2" x14ac:dyDescent="0.25">
      <c r="B10515" s="1"/>
    </row>
    <row r="10516" spans="2:2" x14ac:dyDescent="0.25">
      <c r="B10516" s="1"/>
    </row>
    <row r="10517" spans="2:2" x14ac:dyDescent="0.25">
      <c r="B10517" s="1"/>
    </row>
    <row r="10518" spans="2:2" x14ac:dyDescent="0.25">
      <c r="B10518" s="1"/>
    </row>
    <row r="10519" spans="2:2" x14ac:dyDescent="0.25">
      <c r="B10519" s="1"/>
    </row>
    <row r="10520" spans="2:2" x14ac:dyDescent="0.25">
      <c r="B10520" s="1"/>
    </row>
    <row r="10521" spans="2:2" x14ac:dyDescent="0.25">
      <c r="B10521" s="1"/>
    </row>
    <row r="10522" spans="2:2" x14ac:dyDescent="0.25">
      <c r="B10522" s="1"/>
    </row>
    <row r="10523" spans="2:2" x14ac:dyDescent="0.25">
      <c r="B10523" s="1"/>
    </row>
    <row r="10524" spans="2:2" x14ac:dyDescent="0.25">
      <c r="B10524" s="1"/>
    </row>
    <row r="10525" spans="2:2" x14ac:dyDescent="0.25">
      <c r="B10525" s="1"/>
    </row>
    <row r="10526" spans="2:2" x14ac:dyDescent="0.25">
      <c r="B10526" s="1"/>
    </row>
    <row r="10527" spans="2:2" x14ac:dyDescent="0.25">
      <c r="B10527" s="1"/>
    </row>
    <row r="10528" spans="2:2" x14ac:dyDescent="0.25">
      <c r="B10528" s="1"/>
    </row>
    <row r="10529" spans="2:2" x14ac:dyDescent="0.25">
      <c r="B10529" s="1"/>
    </row>
    <row r="10530" spans="2:2" x14ac:dyDescent="0.25">
      <c r="B10530" s="1"/>
    </row>
    <row r="10531" spans="2:2" x14ac:dyDescent="0.25">
      <c r="B10531" s="1"/>
    </row>
    <row r="10532" spans="2:2" x14ac:dyDescent="0.25">
      <c r="B10532" s="1"/>
    </row>
    <row r="10533" spans="2:2" x14ac:dyDescent="0.25">
      <c r="B10533" s="1"/>
    </row>
    <row r="10534" spans="2:2" x14ac:dyDescent="0.25">
      <c r="B10534" s="1"/>
    </row>
    <row r="10535" spans="2:2" x14ac:dyDescent="0.25">
      <c r="B10535" s="1"/>
    </row>
    <row r="10536" spans="2:2" x14ac:dyDescent="0.25">
      <c r="B10536" s="1"/>
    </row>
    <row r="10537" spans="2:2" x14ac:dyDescent="0.25">
      <c r="B10537" s="1"/>
    </row>
    <row r="10538" spans="2:2" x14ac:dyDescent="0.25">
      <c r="B10538" s="1"/>
    </row>
    <row r="10539" spans="2:2" x14ac:dyDescent="0.25">
      <c r="B10539" s="1"/>
    </row>
    <row r="10540" spans="2:2" x14ac:dyDescent="0.25">
      <c r="B10540" s="1"/>
    </row>
    <row r="10541" spans="2:2" x14ac:dyDescent="0.25">
      <c r="B10541" s="1"/>
    </row>
    <row r="10542" spans="2:2" x14ac:dyDescent="0.25">
      <c r="B10542" s="1"/>
    </row>
    <row r="10543" spans="2:2" x14ac:dyDescent="0.25">
      <c r="B10543" s="1"/>
    </row>
    <row r="10544" spans="2:2" x14ac:dyDescent="0.25">
      <c r="B10544" s="1"/>
    </row>
    <row r="10545" spans="2:2" x14ac:dyDescent="0.25">
      <c r="B10545" s="1"/>
    </row>
    <row r="10546" spans="2:2" x14ac:dyDescent="0.25">
      <c r="B10546" s="1"/>
    </row>
    <row r="10547" spans="2:2" x14ac:dyDescent="0.25">
      <c r="B10547" s="1"/>
    </row>
    <row r="10548" spans="2:2" x14ac:dyDescent="0.25">
      <c r="B10548" s="1"/>
    </row>
    <row r="10549" spans="2:2" x14ac:dyDescent="0.25">
      <c r="B10549" s="1"/>
    </row>
    <row r="10550" spans="2:2" x14ac:dyDescent="0.25">
      <c r="B10550" s="1"/>
    </row>
    <row r="10551" spans="2:2" x14ac:dyDescent="0.25">
      <c r="B10551" s="1"/>
    </row>
    <row r="10552" spans="2:2" x14ac:dyDescent="0.25">
      <c r="B10552" s="1"/>
    </row>
    <row r="10553" spans="2:2" x14ac:dyDescent="0.25">
      <c r="B10553" s="1"/>
    </row>
    <row r="10554" spans="2:2" x14ac:dyDescent="0.25">
      <c r="B10554" s="1"/>
    </row>
    <row r="10555" spans="2:2" x14ac:dyDescent="0.25">
      <c r="B10555" s="1"/>
    </row>
    <row r="10556" spans="2:2" x14ac:dyDescent="0.25">
      <c r="B10556" s="1"/>
    </row>
    <row r="10557" spans="2:2" x14ac:dyDescent="0.25">
      <c r="B10557" s="1"/>
    </row>
    <row r="10558" spans="2:2" x14ac:dyDescent="0.25">
      <c r="B10558" s="1"/>
    </row>
    <row r="10559" spans="2:2" x14ac:dyDescent="0.25">
      <c r="B10559" s="1"/>
    </row>
    <row r="10560" spans="2:2" x14ac:dyDescent="0.25">
      <c r="B10560" s="1"/>
    </row>
    <row r="10561" spans="2:2" x14ac:dyDescent="0.25">
      <c r="B10561" s="1"/>
    </row>
    <row r="10562" spans="2:2" x14ac:dyDescent="0.25">
      <c r="B10562" s="1"/>
    </row>
    <row r="10563" spans="2:2" x14ac:dyDescent="0.25">
      <c r="B10563" s="1"/>
    </row>
    <row r="10564" spans="2:2" x14ac:dyDescent="0.25">
      <c r="B10564" s="1"/>
    </row>
    <row r="10565" spans="2:2" x14ac:dyDescent="0.25">
      <c r="B10565" s="1"/>
    </row>
    <row r="10566" spans="2:2" x14ac:dyDescent="0.25">
      <c r="B10566" s="1"/>
    </row>
    <row r="10567" spans="2:2" x14ac:dyDescent="0.25">
      <c r="B10567" s="1"/>
    </row>
    <row r="10568" spans="2:2" x14ac:dyDescent="0.25">
      <c r="B10568" s="1"/>
    </row>
    <row r="10569" spans="2:2" x14ac:dyDescent="0.25">
      <c r="B10569" s="1"/>
    </row>
    <row r="10570" spans="2:2" x14ac:dyDescent="0.25">
      <c r="B10570" s="1"/>
    </row>
    <row r="10571" spans="2:2" x14ac:dyDescent="0.25">
      <c r="B10571" s="1"/>
    </row>
    <row r="10572" spans="2:2" x14ac:dyDescent="0.25">
      <c r="B10572" s="1"/>
    </row>
    <row r="10573" spans="2:2" x14ac:dyDescent="0.25">
      <c r="B10573" s="1"/>
    </row>
    <row r="10574" spans="2:2" x14ac:dyDescent="0.25">
      <c r="B10574" s="1"/>
    </row>
    <row r="10575" spans="2:2" x14ac:dyDescent="0.25">
      <c r="B10575" s="1"/>
    </row>
    <row r="10576" spans="2:2" x14ac:dyDescent="0.25">
      <c r="B10576" s="1"/>
    </row>
    <row r="10577" spans="2:2" x14ac:dyDescent="0.25">
      <c r="B10577" s="1"/>
    </row>
    <row r="10578" spans="2:2" x14ac:dyDescent="0.25">
      <c r="B10578" s="1"/>
    </row>
    <row r="10579" spans="2:2" x14ac:dyDescent="0.25">
      <c r="B10579" s="1"/>
    </row>
    <row r="10580" spans="2:2" x14ac:dyDescent="0.25">
      <c r="B10580" s="1"/>
    </row>
    <row r="10581" spans="2:2" x14ac:dyDescent="0.25">
      <c r="B10581" s="1"/>
    </row>
    <row r="10582" spans="2:2" x14ac:dyDescent="0.25">
      <c r="B10582" s="1"/>
    </row>
    <row r="10583" spans="2:2" x14ac:dyDescent="0.25">
      <c r="B10583" s="1"/>
    </row>
    <row r="10584" spans="2:2" x14ac:dyDescent="0.25">
      <c r="B10584" s="1"/>
    </row>
    <row r="10585" spans="2:2" x14ac:dyDescent="0.25">
      <c r="B10585" s="1"/>
    </row>
    <row r="10586" spans="2:2" x14ac:dyDescent="0.25">
      <c r="B10586" s="1"/>
    </row>
    <row r="10587" spans="2:2" x14ac:dyDescent="0.25">
      <c r="B10587" s="1"/>
    </row>
    <row r="10588" spans="2:2" x14ac:dyDescent="0.25">
      <c r="B10588" s="1"/>
    </row>
    <row r="10589" spans="2:2" x14ac:dyDescent="0.25">
      <c r="B10589" s="1"/>
    </row>
    <row r="10590" spans="2:2" x14ac:dyDescent="0.25">
      <c r="B10590" s="1"/>
    </row>
    <row r="10591" spans="2:2" x14ac:dyDescent="0.25">
      <c r="B10591" s="1"/>
    </row>
    <row r="10592" spans="2:2" x14ac:dyDescent="0.25">
      <c r="B10592" s="1"/>
    </row>
    <row r="10593" spans="2:2" x14ac:dyDescent="0.25">
      <c r="B10593" s="1"/>
    </row>
    <row r="10594" spans="2:2" x14ac:dyDescent="0.25">
      <c r="B10594" s="1"/>
    </row>
    <row r="10595" spans="2:2" x14ac:dyDescent="0.25">
      <c r="B10595" s="1"/>
    </row>
    <row r="10596" spans="2:2" x14ac:dyDescent="0.25">
      <c r="B10596" s="1"/>
    </row>
    <row r="10597" spans="2:2" x14ac:dyDescent="0.25">
      <c r="B10597" s="1"/>
    </row>
    <row r="10598" spans="2:2" x14ac:dyDescent="0.25">
      <c r="B10598" s="1"/>
    </row>
    <row r="10599" spans="2:2" x14ac:dyDescent="0.25">
      <c r="B10599" s="1"/>
    </row>
    <row r="10600" spans="2:2" x14ac:dyDescent="0.25">
      <c r="B10600" s="1"/>
    </row>
    <row r="10601" spans="2:2" x14ac:dyDescent="0.25">
      <c r="B10601" s="1"/>
    </row>
    <row r="10602" spans="2:2" x14ac:dyDescent="0.25">
      <c r="B10602" s="1"/>
    </row>
    <row r="10603" spans="2:2" x14ac:dyDescent="0.25">
      <c r="B10603" s="1"/>
    </row>
    <row r="10604" spans="2:2" x14ac:dyDescent="0.25">
      <c r="B10604" s="1"/>
    </row>
    <row r="10605" spans="2:2" x14ac:dyDescent="0.25">
      <c r="B10605" s="1"/>
    </row>
    <row r="10606" spans="2:2" x14ac:dyDescent="0.25">
      <c r="B10606" s="1"/>
    </row>
    <row r="10607" spans="2:2" x14ac:dyDescent="0.25">
      <c r="B10607" s="1"/>
    </row>
    <row r="10608" spans="2:2" x14ac:dyDescent="0.25">
      <c r="B10608" s="1"/>
    </row>
    <row r="10609" spans="2:2" x14ac:dyDescent="0.25">
      <c r="B10609" s="1"/>
    </row>
    <row r="10610" spans="2:2" x14ac:dyDescent="0.25">
      <c r="B10610" s="1"/>
    </row>
    <row r="10611" spans="2:2" x14ac:dyDescent="0.25">
      <c r="B10611" s="1"/>
    </row>
    <row r="10612" spans="2:2" x14ac:dyDescent="0.25">
      <c r="B10612" s="1"/>
    </row>
    <row r="10613" spans="2:2" x14ac:dyDescent="0.25">
      <c r="B10613" s="1"/>
    </row>
    <row r="10614" spans="2:2" x14ac:dyDescent="0.25">
      <c r="B10614" s="1"/>
    </row>
    <row r="10615" spans="2:2" x14ac:dyDescent="0.25">
      <c r="B10615" s="1"/>
    </row>
    <row r="10616" spans="2:2" x14ac:dyDescent="0.25">
      <c r="B10616" s="1"/>
    </row>
    <row r="10617" spans="2:2" x14ac:dyDescent="0.25">
      <c r="B10617" s="1"/>
    </row>
    <row r="10618" spans="2:2" x14ac:dyDescent="0.25">
      <c r="B10618" s="1"/>
    </row>
    <row r="10619" spans="2:2" x14ac:dyDescent="0.25">
      <c r="B10619" s="1"/>
    </row>
    <row r="10620" spans="2:2" x14ac:dyDescent="0.25">
      <c r="B10620" s="1"/>
    </row>
    <row r="10621" spans="2:2" x14ac:dyDescent="0.25">
      <c r="B10621" s="1"/>
    </row>
    <row r="10622" spans="2:2" x14ac:dyDescent="0.25">
      <c r="B10622" s="1"/>
    </row>
    <row r="10623" spans="2:2" x14ac:dyDescent="0.25">
      <c r="B10623" s="1"/>
    </row>
    <row r="10624" spans="2:2" x14ac:dyDescent="0.25">
      <c r="B10624" s="1"/>
    </row>
    <row r="10625" spans="2:2" x14ac:dyDescent="0.25">
      <c r="B10625" s="1"/>
    </row>
    <row r="10626" spans="2:2" x14ac:dyDescent="0.25">
      <c r="B10626" s="1"/>
    </row>
    <row r="10627" spans="2:2" x14ac:dyDescent="0.25">
      <c r="B10627" s="1"/>
    </row>
    <row r="10628" spans="2:2" x14ac:dyDescent="0.25">
      <c r="B10628" s="1"/>
    </row>
    <row r="10629" spans="2:2" x14ac:dyDescent="0.25">
      <c r="B10629" s="1"/>
    </row>
    <row r="10630" spans="2:2" x14ac:dyDescent="0.25">
      <c r="B10630" s="1"/>
    </row>
    <row r="10631" spans="2:2" x14ac:dyDescent="0.25">
      <c r="B10631" s="1"/>
    </row>
    <row r="10632" spans="2:2" x14ac:dyDescent="0.25">
      <c r="B10632" s="1"/>
    </row>
    <row r="10633" spans="2:2" x14ac:dyDescent="0.25">
      <c r="B10633" s="1"/>
    </row>
    <row r="10634" spans="2:2" x14ac:dyDescent="0.25">
      <c r="B10634" s="1"/>
    </row>
    <row r="10635" spans="2:2" x14ac:dyDescent="0.25">
      <c r="B10635" s="1"/>
    </row>
    <row r="10636" spans="2:2" x14ac:dyDescent="0.25">
      <c r="B10636" s="1"/>
    </row>
    <row r="10637" spans="2:2" x14ac:dyDescent="0.25">
      <c r="B10637" s="1"/>
    </row>
    <row r="10638" spans="2:2" x14ac:dyDescent="0.25">
      <c r="B10638" s="1"/>
    </row>
    <row r="10639" spans="2:2" x14ac:dyDescent="0.25">
      <c r="B10639" s="1"/>
    </row>
    <row r="10640" spans="2:2" x14ac:dyDescent="0.25">
      <c r="B10640" s="1"/>
    </row>
    <row r="10641" spans="2:2" x14ac:dyDescent="0.25">
      <c r="B10641" s="1"/>
    </row>
    <row r="10642" spans="2:2" x14ac:dyDescent="0.25">
      <c r="B10642" s="1"/>
    </row>
    <row r="10643" spans="2:2" x14ac:dyDescent="0.25">
      <c r="B10643" s="1"/>
    </row>
    <row r="10644" spans="2:2" x14ac:dyDescent="0.25">
      <c r="B10644" s="1"/>
    </row>
    <row r="10645" spans="2:2" x14ac:dyDescent="0.25">
      <c r="B10645" s="1"/>
    </row>
    <row r="10646" spans="2:2" x14ac:dyDescent="0.25">
      <c r="B10646" s="1"/>
    </row>
    <row r="10647" spans="2:2" x14ac:dyDescent="0.25">
      <c r="B10647" s="1"/>
    </row>
    <row r="10648" spans="2:2" x14ac:dyDescent="0.25">
      <c r="B10648" s="1"/>
    </row>
    <row r="10649" spans="2:2" x14ac:dyDescent="0.25">
      <c r="B10649" s="1"/>
    </row>
    <row r="10650" spans="2:2" x14ac:dyDescent="0.25">
      <c r="B10650" s="1"/>
    </row>
    <row r="10651" spans="2:2" x14ac:dyDescent="0.25">
      <c r="B10651" s="1"/>
    </row>
    <row r="10652" spans="2:2" x14ac:dyDescent="0.25">
      <c r="B10652" s="1"/>
    </row>
    <row r="10653" spans="2:2" x14ac:dyDescent="0.25">
      <c r="B10653" s="1"/>
    </row>
    <row r="10654" spans="2:2" x14ac:dyDescent="0.25">
      <c r="B10654" s="1"/>
    </row>
    <row r="10655" spans="2:2" x14ac:dyDescent="0.25">
      <c r="B10655" s="1"/>
    </row>
    <row r="10656" spans="2:2" x14ac:dyDescent="0.25">
      <c r="B10656" s="1"/>
    </row>
    <row r="10657" spans="2:2" x14ac:dyDescent="0.25">
      <c r="B10657" s="1"/>
    </row>
    <row r="10658" spans="2:2" x14ac:dyDescent="0.25">
      <c r="B10658" s="1"/>
    </row>
    <row r="10659" spans="2:2" x14ac:dyDescent="0.25">
      <c r="B10659" s="1"/>
    </row>
    <row r="10660" spans="2:2" x14ac:dyDescent="0.25">
      <c r="B10660" s="1"/>
    </row>
    <row r="10661" spans="2:2" x14ac:dyDescent="0.25">
      <c r="B10661" s="1"/>
    </row>
    <row r="10662" spans="2:2" x14ac:dyDescent="0.25">
      <c r="B10662" s="1"/>
    </row>
    <row r="10663" spans="2:2" x14ac:dyDescent="0.25">
      <c r="B10663" s="1"/>
    </row>
    <row r="10664" spans="2:2" x14ac:dyDescent="0.25">
      <c r="B10664" s="1"/>
    </row>
    <row r="10665" spans="2:2" x14ac:dyDescent="0.25">
      <c r="B10665" s="1"/>
    </row>
    <row r="10666" spans="2:2" x14ac:dyDescent="0.25">
      <c r="B10666" s="1"/>
    </row>
    <row r="10667" spans="2:2" x14ac:dyDescent="0.25">
      <c r="B10667" s="1"/>
    </row>
    <row r="10668" spans="2:2" x14ac:dyDescent="0.25">
      <c r="B10668" s="1"/>
    </row>
    <row r="10669" spans="2:2" x14ac:dyDescent="0.25">
      <c r="B10669" s="1"/>
    </row>
    <row r="10670" spans="2:2" x14ac:dyDescent="0.25">
      <c r="B10670" s="1"/>
    </row>
    <row r="10671" spans="2:2" x14ac:dyDescent="0.25">
      <c r="B10671" s="1"/>
    </row>
    <row r="10672" spans="2:2" x14ac:dyDescent="0.25">
      <c r="B10672" s="1"/>
    </row>
    <row r="10673" spans="2:2" x14ac:dyDescent="0.25">
      <c r="B10673" s="1"/>
    </row>
    <row r="10674" spans="2:2" x14ac:dyDescent="0.25">
      <c r="B10674" s="1"/>
    </row>
    <row r="10675" spans="2:2" x14ac:dyDescent="0.25">
      <c r="B10675" s="1"/>
    </row>
    <row r="10676" spans="2:2" x14ac:dyDescent="0.25">
      <c r="B10676" s="1"/>
    </row>
    <row r="10677" spans="2:2" x14ac:dyDescent="0.25">
      <c r="B10677" s="1"/>
    </row>
    <row r="10678" spans="2:2" x14ac:dyDescent="0.25">
      <c r="B10678" s="1"/>
    </row>
    <row r="10679" spans="2:2" x14ac:dyDescent="0.25">
      <c r="B10679" s="1"/>
    </row>
    <row r="10680" spans="2:2" x14ac:dyDescent="0.25">
      <c r="B10680" s="1"/>
    </row>
    <row r="10681" spans="2:2" x14ac:dyDescent="0.25">
      <c r="B10681" s="1"/>
    </row>
    <row r="10682" spans="2:2" x14ac:dyDescent="0.25">
      <c r="B10682" s="1"/>
    </row>
    <row r="10683" spans="2:2" x14ac:dyDescent="0.25">
      <c r="B10683" s="1"/>
    </row>
    <row r="10684" spans="2:2" x14ac:dyDescent="0.25">
      <c r="B10684" s="1"/>
    </row>
    <row r="10685" spans="2:2" x14ac:dyDescent="0.25">
      <c r="B10685" s="1"/>
    </row>
    <row r="10686" spans="2:2" x14ac:dyDescent="0.25">
      <c r="B10686" s="1"/>
    </row>
    <row r="10687" spans="2:2" x14ac:dyDescent="0.25">
      <c r="B10687" s="1"/>
    </row>
    <row r="10688" spans="2:2" x14ac:dyDescent="0.25">
      <c r="B10688" s="1"/>
    </row>
    <row r="10689" spans="2:2" x14ac:dyDescent="0.25">
      <c r="B10689" s="1"/>
    </row>
    <row r="10690" spans="2:2" x14ac:dyDescent="0.25">
      <c r="B10690" s="1"/>
    </row>
    <row r="10691" spans="2:2" x14ac:dyDescent="0.25">
      <c r="B10691" s="1"/>
    </row>
    <row r="10692" spans="2:2" x14ac:dyDescent="0.25">
      <c r="B10692" s="1"/>
    </row>
    <row r="10693" spans="2:2" x14ac:dyDescent="0.25">
      <c r="B10693" s="1"/>
    </row>
    <row r="10694" spans="2:2" x14ac:dyDescent="0.25">
      <c r="B10694" s="1"/>
    </row>
    <row r="10695" spans="2:2" x14ac:dyDescent="0.25">
      <c r="B10695" s="1"/>
    </row>
    <row r="10696" spans="2:2" x14ac:dyDescent="0.25">
      <c r="B10696" s="1"/>
    </row>
    <row r="10697" spans="2:2" x14ac:dyDescent="0.25">
      <c r="B10697" s="1"/>
    </row>
    <row r="10698" spans="2:2" x14ac:dyDescent="0.25">
      <c r="B10698" s="1"/>
    </row>
    <row r="10699" spans="2:2" x14ac:dyDescent="0.25">
      <c r="B10699" s="1"/>
    </row>
    <row r="10700" spans="2:2" x14ac:dyDescent="0.25">
      <c r="B10700" s="1"/>
    </row>
    <row r="10701" spans="2:2" x14ac:dyDescent="0.25">
      <c r="B10701" s="1"/>
    </row>
    <row r="10702" spans="2:2" x14ac:dyDescent="0.25">
      <c r="B10702" s="1"/>
    </row>
    <row r="10703" spans="2:2" x14ac:dyDescent="0.25">
      <c r="B10703" s="1"/>
    </row>
    <row r="10704" spans="2:2" x14ac:dyDescent="0.25">
      <c r="B10704" s="1"/>
    </row>
    <row r="10705" spans="2:2" x14ac:dyDescent="0.25">
      <c r="B10705" s="1"/>
    </row>
    <row r="10706" spans="2:2" x14ac:dyDescent="0.25">
      <c r="B10706" s="1"/>
    </row>
    <row r="10707" spans="2:2" x14ac:dyDescent="0.25">
      <c r="B10707" s="1"/>
    </row>
    <row r="10708" spans="2:2" x14ac:dyDescent="0.25">
      <c r="B10708" s="1"/>
    </row>
    <row r="10709" spans="2:2" x14ac:dyDescent="0.25">
      <c r="B10709" s="1"/>
    </row>
    <row r="10710" spans="2:2" x14ac:dyDescent="0.25">
      <c r="B10710" s="1"/>
    </row>
    <row r="10711" spans="2:2" x14ac:dyDescent="0.25">
      <c r="B10711" s="1"/>
    </row>
    <row r="10712" spans="2:2" x14ac:dyDescent="0.25">
      <c r="B10712" s="1"/>
    </row>
    <row r="10713" spans="2:2" x14ac:dyDescent="0.25">
      <c r="B10713" s="1"/>
    </row>
    <row r="10714" spans="2:2" x14ac:dyDescent="0.25">
      <c r="B10714" s="1"/>
    </row>
    <row r="10715" spans="2:2" x14ac:dyDescent="0.25">
      <c r="B10715" s="1"/>
    </row>
    <row r="10716" spans="2:2" x14ac:dyDescent="0.25">
      <c r="B10716" s="1"/>
    </row>
    <row r="10717" spans="2:2" x14ac:dyDescent="0.25">
      <c r="B10717" s="1"/>
    </row>
    <row r="10718" spans="2:2" x14ac:dyDescent="0.25">
      <c r="B10718" s="1"/>
    </row>
    <row r="10719" spans="2:2" x14ac:dyDescent="0.25">
      <c r="B10719" s="1"/>
    </row>
    <row r="10720" spans="2:2" x14ac:dyDescent="0.25">
      <c r="B10720" s="1"/>
    </row>
    <row r="10721" spans="2:2" x14ac:dyDescent="0.25">
      <c r="B10721" s="1"/>
    </row>
    <row r="10722" spans="2:2" x14ac:dyDescent="0.25">
      <c r="B10722" s="1"/>
    </row>
    <row r="10723" spans="2:2" x14ac:dyDescent="0.25">
      <c r="B10723" s="1"/>
    </row>
    <row r="10724" spans="2:2" x14ac:dyDescent="0.25">
      <c r="B10724" s="1"/>
    </row>
    <row r="10725" spans="2:2" x14ac:dyDescent="0.25">
      <c r="B10725" s="1"/>
    </row>
    <row r="10726" spans="2:2" x14ac:dyDescent="0.25">
      <c r="B10726" s="1"/>
    </row>
    <row r="10727" spans="2:2" x14ac:dyDescent="0.25">
      <c r="B10727" s="1"/>
    </row>
    <row r="10728" spans="2:2" x14ac:dyDescent="0.25">
      <c r="B10728" s="1"/>
    </row>
    <row r="10729" spans="2:2" x14ac:dyDescent="0.25">
      <c r="B10729" s="1"/>
    </row>
    <row r="10730" spans="2:2" x14ac:dyDescent="0.25">
      <c r="B10730" s="1"/>
    </row>
    <row r="10731" spans="2:2" x14ac:dyDescent="0.25">
      <c r="B10731" s="1"/>
    </row>
    <row r="10732" spans="2:2" x14ac:dyDescent="0.25">
      <c r="B10732" s="1"/>
    </row>
    <row r="10733" spans="2:2" x14ac:dyDescent="0.25">
      <c r="B10733" s="1"/>
    </row>
    <row r="10734" spans="2:2" x14ac:dyDescent="0.25">
      <c r="B10734" s="1"/>
    </row>
    <row r="10735" spans="2:2" x14ac:dyDescent="0.25">
      <c r="B10735" s="1"/>
    </row>
    <row r="10736" spans="2:2" x14ac:dyDescent="0.25">
      <c r="B10736" s="1"/>
    </row>
    <row r="10737" spans="2:2" x14ac:dyDescent="0.25">
      <c r="B10737" s="1"/>
    </row>
    <row r="10738" spans="2:2" x14ac:dyDescent="0.25">
      <c r="B10738" s="1"/>
    </row>
    <row r="10739" spans="2:2" x14ac:dyDescent="0.25">
      <c r="B10739" s="1"/>
    </row>
    <row r="10740" spans="2:2" x14ac:dyDescent="0.25">
      <c r="B10740" s="1"/>
    </row>
    <row r="10741" spans="2:2" x14ac:dyDescent="0.25">
      <c r="B10741" s="1"/>
    </row>
    <row r="10742" spans="2:2" x14ac:dyDescent="0.25">
      <c r="B10742" s="1"/>
    </row>
    <row r="10743" spans="2:2" x14ac:dyDescent="0.25">
      <c r="B10743" s="1"/>
    </row>
    <row r="10744" spans="2:2" x14ac:dyDescent="0.25">
      <c r="B10744" s="1"/>
    </row>
    <row r="10745" spans="2:2" x14ac:dyDescent="0.25">
      <c r="B10745" s="1"/>
    </row>
    <row r="10746" spans="2:2" x14ac:dyDescent="0.25">
      <c r="B10746" s="1"/>
    </row>
    <row r="10747" spans="2:2" x14ac:dyDescent="0.25">
      <c r="B10747" s="1"/>
    </row>
    <row r="10748" spans="2:2" x14ac:dyDescent="0.25">
      <c r="B10748" s="1"/>
    </row>
    <row r="10749" spans="2:2" x14ac:dyDescent="0.25">
      <c r="B10749" s="1"/>
    </row>
    <row r="10750" spans="2:2" x14ac:dyDescent="0.25">
      <c r="B10750" s="1"/>
    </row>
    <row r="10751" spans="2:2" x14ac:dyDescent="0.25">
      <c r="B10751" s="1"/>
    </row>
    <row r="10752" spans="2:2" x14ac:dyDescent="0.25">
      <c r="B10752" s="1"/>
    </row>
    <row r="10753" spans="2:2" x14ac:dyDescent="0.25">
      <c r="B10753" s="1"/>
    </row>
    <row r="10754" spans="2:2" x14ac:dyDescent="0.25">
      <c r="B10754" s="1"/>
    </row>
    <row r="10755" spans="2:2" x14ac:dyDescent="0.25">
      <c r="B10755" s="1"/>
    </row>
    <row r="10756" spans="2:2" x14ac:dyDescent="0.25">
      <c r="B10756" s="1"/>
    </row>
    <row r="10757" spans="2:2" x14ac:dyDescent="0.25">
      <c r="B10757" s="1"/>
    </row>
    <row r="10758" spans="2:2" x14ac:dyDescent="0.25">
      <c r="B10758" s="1"/>
    </row>
    <row r="10759" spans="2:2" x14ac:dyDescent="0.25">
      <c r="B10759" s="1"/>
    </row>
    <row r="10760" spans="2:2" x14ac:dyDescent="0.25">
      <c r="B10760" s="1"/>
    </row>
    <row r="10761" spans="2:2" x14ac:dyDescent="0.25">
      <c r="B10761" s="1"/>
    </row>
    <row r="10762" spans="2:2" x14ac:dyDescent="0.25">
      <c r="B10762" s="1"/>
    </row>
    <row r="10763" spans="2:2" x14ac:dyDescent="0.25">
      <c r="B10763" s="1"/>
    </row>
    <row r="10764" spans="2:2" x14ac:dyDescent="0.25">
      <c r="B10764" s="1"/>
    </row>
    <row r="10765" spans="2:2" x14ac:dyDescent="0.25">
      <c r="B10765" s="1"/>
    </row>
    <row r="10766" spans="2:2" x14ac:dyDescent="0.25">
      <c r="B10766" s="1"/>
    </row>
    <row r="10767" spans="2:2" x14ac:dyDescent="0.25">
      <c r="B10767" s="1"/>
    </row>
    <row r="10768" spans="2:2" x14ac:dyDescent="0.25">
      <c r="B10768" s="1"/>
    </row>
    <row r="10769" spans="2:2" x14ac:dyDescent="0.25">
      <c r="B10769" s="1"/>
    </row>
    <row r="10770" spans="2:2" x14ac:dyDescent="0.25">
      <c r="B10770" s="1"/>
    </row>
    <row r="10771" spans="2:2" x14ac:dyDescent="0.25">
      <c r="B10771" s="1"/>
    </row>
    <row r="10772" spans="2:2" x14ac:dyDescent="0.25">
      <c r="B10772" s="1"/>
    </row>
    <row r="10773" spans="2:2" x14ac:dyDescent="0.25">
      <c r="B10773" s="1"/>
    </row>
    <row r="10774" spans="2:2" x14ac:dyDescent="0.25">
      <c r="B10774" s="1"/>
    </row>
    <row r="10775" spans="2:2" x14ac:dyDescent="0.25">
      <c r="B10775" s="1"/>
    </row>
    <row r="10776" spans="2:2" x14ac:dyDescent="0.25">
      <c r="B10776" s="1"/>
    </row>
    <row r="10777" spans="2:2" x14ac:dyDescent="0.25">
      <c r="B10777" s="1"/>
    </row>
    <row r="10778" spans="2:2" x14ac:dyDescent="0.25">
      <c r="B10778" s="1"/>
    </row>
    <row r="10779" spans="2:2" x14ac:dyDescent="0.25">
      <c r="B10779" s="1"/>
    </row>
    <row r="10780" spans="2:2" x14ac:dyDescent="0.25">
      <c r="B10780" s="1"/>
    </row>
    <row r="10781" spans="2:2" x14ac:dyDescent="0.25">
      <c r="B10781" s="1"/>
    </row>
    <row r="10782" spans="2:2" x14ac:dyDescent="0.25">
      <c r="B10782" s="1"/>
    </row>
    <row r="10783" spans="2:2" x14ac:dyDescent="0.25">
      <c r="B10783" s="1"/>
    </row>
    <row r="10784" spans="2:2" x14ac:dyDescent="0.25">
      <c r="B10784" s="1"/>
    </row>
    <row r="10785" spans="2:2" x14ac:dyDescent="0.25">
      <c r="B10785" s="1"/>
    </row>
    <row r="10786" spans="2:2" x14ac:dyDescent="0.25">
      <c r="B10786" s="1"/>
    </row>
    <row r="10787" spans="2:2" x14ac:dyDescent="0.25">
      <c r="B10787" s="1"/>
    </row>
    <row r="10788" spans="2:2" x14ac:dyDescent="0.25">
      <c r="B10788" s="1"/>
    </row>
    <row r="10789" spans="2:2" x14ac:dyDescent="0.25">
      <c r="B10789" s="1"/>
    </row>
    <row r="10790" spans="2:2" x14ac:dyDescent="0.25">
      <c r="B10790" s="1"/>
    </row>
    <row r="10791" spans="2:2" x14ac:dyDescent="0.25">
      <c r="B10791" s="1"/>
    </row>
    <row r="10792" spans="2:2" x14ac:dyDescent="0.25">
      <c r="B10792" s="1"/>
    </row>
    <row r="10793" spans="2:2" x14ac:dyDescent="0.25">
      <c r="B10793" s="1"/>
    </row>
    <row r="10794" spans="2:2" x14ac:dyDescent="0.25">
      <c r="B10794" s="1"/>
    </row>
    <row r="10795" spans="2:2" x14ac:dyDescent="0.25">
      <c r="B10795" s="1"/>
    </row>
    <row r="10796" spans="2:2" x14ac:dyDescent="0.25">
      <c r="B10796" s="1"/>
    </row>
    <row r="10797" spans="2:2" x14ac:dyDescent="0.25">
      <c r="B10797" s="1"/>
    </row>
    <row r="10798" spans="2:2" x14ac:dyDescent="0.25">
      <c r="B10798" s="1"/>
    </row>
    <row r="10799" spans="2:2" x14ac:dyDescent="0.25">
      <c r="B10799" s="1"/>
    </row>
    <row r="10800" spans="2:2" x14ac:dyDescent="0.25">
      <c r="B10800" s="1"/>
    </row>
    <row r="10801" spans="2:2" x14ac:dyDescent="0.25">
      <c r="B10801" s="1"/>
    </row>
    <row r="10802" spans="2:2" x14ac:dyDescent="0.25">
      <c r="B10802" s="1"/>
    </row>
    <row r="10803" spans="2:2" x14ac:dyDescent="0.25">
      <c r="B10803" s="1"/>
    </row>
    <row r="10804" spans="2:2" x14ac:dyDescent="0.25">
      <c r="B10804" s="1"/>
    </row>
    <row r="10805" spans="2:2" x14ac:dyDescent="0.25">
      <c r="B10805" s="1"/>
    </row>
    <row r="10806" spans="2:2" x14ac:dyDescent="0.25">
      <c r="B10806" s="1"/>
    </row>
    <row r="10807" spans="2:2" x14ac:dyDescent="0.25">
      <c r="B10807" s="1"/>
    </row>
    <row r="10808" spans="2:2" x14ac:dyDescent="0.25">
      <c r="B10808" s="1"/>
    </row>
    <row r="10809" spans="2:2" x14ac:dyDescent="0.25">
      <c r="B10809" s="1"/>
    </row>
    <row r="10810" spans="2:2" x14ac:dyDescent="0.25">
      <c r="B10810" s="1"/>
    </row>
    <row r="10811" spans="2:2" x14ac:dyDescent="0.25">
      <c r="B10811" s="1"/>
    </row>
    <row r="10812" spans="2:2" x14ac:dyDescent="0.25">
      <c r="B10812" s="1"/>
    </row>
    <row r="10813" spans="2:2" x14ac:dyDescent="0.25">
      <c r="B10813" s="1"/>
    </row>
    <row r="10814" spans="2:2" x14ac:dyDescent="0.25">
      <c r="B10814" s="1"/>
    </row>
    <row r="10815" spans="2:2" x14ac:dyDescent="0.25">
      <c r="B10815" s="1"/>
    </row>
    <row r="10816" spans="2:2" x14ac:dyDescent="0.25">
      <c r="B10816" s="1"/>
    </row>
    <row r="10817" spans="2:2" x14ac:dyDescent="0.25">
      <c r="B10817" s="1"/>
    </row>
    <row r="10818" spans="2:2" x14ac:dyDescent="0.25">
      <c r="B10818" s="1"/>
    </row>
    <row r="10819" spans="2:2" x14ac:dyDescent="0.25">
      <c r="B10819" s="1"/>
    </row>
    <row r="10820" spans="2:2" x14ac:dyDescent="0.25">
      <c r="B10820" s="1"/>
    </row>
    <row r="10821" spans="2:2" x14ac:dyDescent="0.25">
      <c r="B10821" s="1"/>
    </row>
    <row r="10822" spans="2:2" x14ac:dyDescent="0.25">
      <c r="B10822" s="1"/>
    </row>
    <row r="10823" spans="2:2" x14ac:dyDescent="0.25">
      <c r="B10823" s="1"/>
    </row>
    <row r="10824" spans="2:2" x14ac:dyDescent="0.25">
      <c r="B10824" s="1"/>
    </row>
    <row r="10825" spans="2:2" x14ac:dyDescent="0.25">
      <c r="B10825" s="1"/>
    </row>
    <row r="10826" spans="2:2" x14ac:dyDescent="0.25">
      <c r="B10826" s="1"/>
    </row>
    <row r="10827" spans="2:2" x14ac:dyDescent="0.25">
      <c r="B10827" s="1"/>
    </row>
    <row r="10828" spans="2:2" x14ac:dyDescent="0.25">
      <c r="B10828" s="1"/>
    </row>
    <row r="10829" spans="2:2" x14ac:dyDescent="0.25">
      <c r="B10829" s="1"/>
    </row>
    <row r="10830" spans="2:2" x14ac:dyDescent="0.25">
      <c r="B10830" s="1"/>
    </row>
    <row r="10831" spans="2:2" x14ac:dyDescent="0.25">
      <c r="B10831" s="1"/>
    </row>
    <row r="10832" spans="2:2" x14ac:dyDescent="0.25">
      <c r="B10832" s="1"/>
    </row>
    <row r="10833" spans="2:2" x14ac:dyDescent="0.25">
      <c r="B10833" s="1"/>
    </row>
    <row r="10834" spans="2:2" x14ac:dyDescent="0.25">
      <c r="B10834" s="1"/>
    </row>
    <row r="10835" spans="2:2" x14ac:dyDescent="0.25">
      <c r="B10835" s="1"/>
    </row>
    <row r="10836" spans="2:2" x14ac:dyDescent="0.25">
      <c r="B10836" s="1"/>
    </row>
    <row r="10837" spans="2:2" x14ac:dyDescent="0.25">
      <c r="B10837" s="1"/>
    </row>
    <row r="10838" spans="2:2" x14ac:dyDescent="0.25">
      <c r="B10838" s="1"/>
    </row>
    <row r="10839" spans="2:2" x14ac:dyDescent="0.25">
      <c r="B10839" s="1"/>
    </row>
    <row r="10840" spans="2:2" x14ac:dyDescent="0.25">
      <c r="B10840" s="1"/>
    </row>
    <row r="10841" spans="2:2" x14ac:dyDescent="0.25">
      <c r="B10841" s="1"/>
    </row>
    <row r="10842" spans="2:2" x14ac:dyDescent="0.25">
      <c r="B10842" s="1"/>
    </row>
    <row r="10843" spans="2:2" x14ac:dyDescent="0.25">
      <c r="B10843" s="1"/>
    </row>
    <row r="10844" spans="2:2" x14ac:dyDescent="0.25">
      <c r="B10844" s="1"/>
    </row>
    <row r="10845" spans="2:2" x14ac:dyDescent="0.25">
      <c r="B10845" s="1"/>
    </row>
    <row r="10846" spans="2:2" x14ac:dyDescent="0.25">
      <c r="B10846" s="1"/>
    </row>
    <row r="10847" spans="2:2" x14ac:dyDescent="0.25">
      <c r="B10847" s="1"/>
    </row>
    <row r="10848" spans="2:2" x14ac:dyDescent="0.25">
      <c r="B10848" s="1"/>
    </row>
    <row r="10849" spans="2:2" x14ac:dyDescent="0.25">
      <c r="B10849" s="1"/>
    </row>
    <row r="10850" spans="2:2" x14ac:dyDescent="0.25">
      <c r="B10850" s="1"/>
    </row>
    <row r="10851" spans="2:2" x14ac:dyDescent="0.25">
      <c r="B10851" s="1"/>
    </row>
    <row r="10852" spans="2:2" x14ac:dyDescent="0.25">
      <c r="B10852" s="1"/>
    </row>
    <row r="10853" spans="2:2" x14ac:dyDescent="0.25">
      <c r="B10853" s="1"/>
    </row>
    <row r="10854" spans="2:2" x14ac:dyDescent="0.25">
      <c r="B10854" s="1"/>
    </row>
    <row r="10855" spans="2:2" x14ac:dyDescent="0.25">
      <c r="B10855" s="1"/>
    </row>
    <row r="10856" spans="2:2" x14ac:dyDescent="0.25">
      <c r="B10856" s="1"/>
    </row>
    <row r="10857" spans="2:2" x14ac:dyDescent="0.25">
      <c r="B10857" s="1"/>
    </row>
    <row r="10858" spans="2:2" x14ac:dyDescent="0.25">
      <c r="B10858" s="1"/>
    </row>
    <row r="10859" spans="2:2" x14ac:dyDescent="0.25">
      <c r="B10859" s="1"/>
    </row>
    <row r="10860" spans="2:2" x14ac:dyDescent="0.25">
      <c r="B10860" s="1"/>
    </row>
    <row r="10861" spans="2:2" x14ac:dyDescent="0.25">
      <c r="B10861" s="1"/>
    </row>
    <row r="10862" spans="2:2" x14ac:dyDescent="0.25">
      <c r="B10862" s="1"/>
    </row>
    <row r="10863" spans="2:2" x14ac:dyDescent="0.25">
      <c r="B10863" s="1"/>
    </row>
    <row r="10864" spans="2:2" x14ac:dyDescent="0.25">
      <c r="B10864" s="1"/>
    </row>
    <row r="10865" spans="2:2" x14ac:dyDescent="0.25">
      <c r="B10865" s="1"/>
    </row>
    <row r="10866" spans="2:2" x14ac:dyDescent="0.25">
      <c r="B10866" s="1"/>
    </row>
    <row r="10867" spans="2:2" x14ac:dyDescent="0.25">
      <c r="B10867" s="1"/>
    </row>
    <row r="10868" spans="2:2" x14ac:dyDescent="0.25">
      <c r="B10868" s="1"/>
    </row>
    <row r="10869" spans="2:2" x14ac:dyDescent="0.25">
      <c r="B10869" s="1"/>
    </row>
    <row r="10870" spans="2:2" x14ac:dyDescent="0.25">
      <c r="B10870" s="1"/>
    </row>
    <row r="10871" spans="2:2" x14ac:dyDescent="0.25">
      <c r="B10871" s="1"/>
    </row>
    <row r="10872" spans="2:2" x14ac:dyDescent="0.25">
      <c r="B10872" s="1"/>
    </row>
    <row r="10873" spans="2:2" x14ac:dyDescent="0.25">
      <c r="B10873" s="1"/>
    </row>
    <row r="10874" spans="2:2" x14ac:dyDescent="0.25">
      <c r="B10874" s="1"/>
    </row>
    <row r="10875" spans="2:2" x14ac:dyDescent="0.25">
      <c r="B10875" s="1"/>
    </row>
    <row r="10876" spans="2:2" x14ac:dyDescent="0.25">
      <c r="B10876" s="1"/>
    </row>
    <row r="10877" spans="2:2" x14ac:dyDescent="0.25">
      <c r="B10877" s="1"/>
    </row>
    <row r="10878" spans="2:2" x14ac:dyDescent="0.25">
      <c r="B10878" s="1"/>
    </row>
    <row r="10879" spans="2:2" x14ac:dyDescent="0.25">
      <c r="B10879" s="1"/>
    </row>
    <row r="10880" spans="2:2" x14ac:dyDescent="0.25">
      <c r="B10880" s="1"/>
    </row>
    <row r="10881" spans="2:2" x14ac:dyDescent="0.25">
      <c r="B10881" s="1"/>
    </row>
    <row r="10882" spans="2:2" x14ac:dyDescent="0.25">
      <c r="B10882" s="1"/>
    </row>
    <row r="10883" spans="2:2" x14ac:dyDescent="0.25">
      <c r="B10883" s="1"/>
    </row>
    <row r="10884" spans="2:2" x14ac:dyDescent="0.25">
      <c r="B10884" s="1"/>
    </row>
    <row r="10885" spans="2:2" x14ac:dyDescent="0.25">
      <c r="B10885" s="1"/>
    </row>
    <row r="10886" spans="2:2" x14ac:dyDescent="0.25">
      <c r="B10886" s="1"/>
    </row>
    <row r="10887" spans="2:2" x14ac:dyDescent="0.25">
      <c r="B10887" s="1"/>
    </row>
    <row r="10888" spans="2:2" x14ac:dyDescent="0.25">
      <c r="B10888" s="1"/>
    </row>
    <row r="10889" spans="2:2" x14ac:dyDescent="0.25">
      <c r="B10889" s="1"/>
    </row>
    <row r="10890" spans="2:2" x14ac:dyDescent="0.25">
      <c r="B10890" s="1"/>
    </row>
    <row r="10891" spans="2:2" x14ac:dyDescent="0.25">
      <c r="B10891" s="1"/>
    </row>
    <row r="10892" spans="2:2" x14ac:dyDescent="0.25">
      <c r="B10892" s="1"/>
    </row>
    <row r="10893" spans="2:2" x14ac:dyDescent="0.25">
      <c r="B10893" s="1"/>
    </row>
    <row r="10894" spans="2:2" x14ac:dyDescent="0.25">
      <c r="B10894" s="1"/>
    </row>
    <row r="10895" spans="2:2" x14ac:dyDescent="0.25">
      <c r="B10895" s="1"/>
    </row>
    <row r="10896" spans="2:2" x14ac:dyDescent="0.25">
      <c r="B10896" s="1"/>
    </row>
    <row r="10897" spans="2:2" x14ac:dyDescent="0.25">
      <c r="B10897" s="1"/>
    </row>
    <row r="10898" spans="2:2" x14ac:dyDescent="0.25">
      <c r="B10898" s="1"/>
    </row>
    <row r="10899" spans="2:2" x14ac:dyDescent="0.25">
      <c r="B10899" s="1"/>
    </row>
    <row r="10900" spans="2:2" x14ac:dyDescent="0.25">
      <c r="B10900" s="1"/>
    </row>
    <row r="10901" spans="2:2" x14ac:dyDescent="0.25">
      <c r="B10901" s="1"/>
    </row>
    <row r="10902" spans="2:2" x14ac:dyDescent="0.25">
      <c r="B10902" s="1"/>
    </row>
    <row r="10903" spans="2:2" x14ac:dyDescent="0.25">
      <c r="B10903" s="1"/>
    </row>
    <row r="10904" spans="2:2" x14ac:dyDescent="0.25">
      <c r="B10904" s="1"/>
    </row>
    <row r="10905" spans="2:2" x14ac:dyDescent="0.25">
      <c r="B10905" s="1"/>
    </row>
    <row r="10906" spans="2:2" x14ac:dyDescent="0.25">
      <c r="B10906" s="1"/>
    </row>
    <row r="10907" spans="2:2" x14ac:dyDescent="0.25">
      <c r="B10907" s="1"/>
    </row>
    <row r="10908" spans="2:2" x14ac:dyDescent="0.25">
      <c r="B10908" s="1"/>
    </row>
    <row r="10909" spans="2:2" x14ac:dyDescent="0.25">
      <c r="B10909" s="1"/>
    </row>
    <row r="10910" spans="2:2" x14ac:dyDescent="0.25">
      <c r="B10910" s="1"/>
    </row>
    <row r="10911" spans="2:2" x14ac:dyDescent="0.25">
      <c r="B10911" s="1"/>
    </row>
    <row r="10912" spans="2:2" x14ac:dyDescent="0.25">
      <c r="B10912" s="1"/>
    </row>
    <row r="10913" spans="2:2" x14ac:dyDescent="0.25">
      <c r="B10913" s="1"/>
    </row>
    <row r="10914" spans="2:2" x14ac:dyDescent="0.25">
      <c r="B10914" s="1"/>
    </row>
    <row r="10915" spans="2:2" x14ac:dyDescent="0.25">
      <c r="B10915" s="1"/>
    </row>
    <row r="10916" spans="2:2" x14ac:dyDescent="0.25">
      <c r="B10916" s="1"/>
    </row>
    <row r="10917" spans="2:2" x14ac:dyDescent="0.25">
      <c r="B10917" s="1"/>
    </row>
    <row r="10918" spans="2:2" x14ac:dyDescent="0.25">
      <c r="B10918" s="1"/>
    </row>
    <row r="10919" spans="2:2" x14ac:dyDescent="0.25">
      <c r="B10919" s="1"/>
    </row>
    <row r="10920" spans="2:2" x14ac:dyDescent="0.25">
      <c r="B10920" s="1"/>
    </row>
    <row r="10921" spans="2:2" x14ac:dyDescent="0.25">
      <c r="B10921" s="1"/>
    </row>
    <row r="10922" spans="2:2" x14ac:dyDescent="0.25">
      <c r="B10922" s="1"/>
    </row>
    <row r="10923" spans="2:2" x14ac:dyDescent="0.25">
      <c r="B10923" s="1"/>
    </row>
    <row r="10924" spans="2:2" x14ac:dyDescent="0.25">
      <c r="B10924" s="1"/>
    </row>
    <row r="10925" spans="2:2" x14ac:dyDescent="0.25">
      <c r="B10925" s="1"/>
    </row>
    <row r="10926" spans="2:2" x14ac:dyDescent="0.25">
      <c r="B10926" s="1"/>
    </row>
    <row r="10927" spans="2:2" x14ac:dyDescent="0.25">
      <c r="B10927" s="1"/>
    </row>
    <row r="10928" spans="2:2" x14ac:dyDescent="0.25">
      <c r="B10928" s="1"/>
    </row>
    <row r="10929" spans="2:2" x14ac:dyDescent="0.25">
      <c r="B10929" s="1"/>
    </row>
    <row r="10930" spans="2:2" x14ac:dyDescent="0.25">
      <c r="B10930" s="1"/>
    </row>
    <row r="10931" spans="2:2" x14ac:dyDescent="0.25">
      <c r="B10931" s="1"/>
    </row>
    <row r="10932" spans="2:2" x14ac:dyDescent="0.25">
      <c r="B10932" s="1"/>
    </row>
    <row r="10933" spans="2:2" x14ac:dyDescent="0.25">
      <c r="B10933" s="1"/>
    </row>
    <row r="10934" spans="2:2" x14ac:dyDescent="0.25">
      <c r="B10934" s="1"/>
    </row>
    <row r="10935" spans="2:2" x14ac:dyDescent="0.25">
      <c r="B10935" s="1"/>
    </row>
    <row r="10936" spans="2:2" x14ac:dyDescent="0.25">
      <c r="B10936" s="1"/>
    </row>
    <row r="10937" spans="2:2" x14ac:dyDescent="0.25">
      <c r="B10937" s="1"/>
    </row>
    <row r="10938" spans="2:2" x14ac:dyDescent="0.25">
      <c r="B10938" s="1"/>
    </row>
    <row r="10939" spans="2:2" x14ac:dyDescent="0.25">
      <c r="B10939" s="1"/>
    </row>
    <row r="10940" spans="2:2" x14ac:dyDescent="0.25">
      <c r="B10940" s="1"/>
    </row>
    <row r="10941" spans="2:2" x14ac:dyDescent="0.25">
      <c r="B10941" s="1"/>
    </row>
    <row r="10942" spans="2:2" x14ac:dyDescent="0.25">
      <c r="B10942" s="1"/>
    </row>
    <row r="10943" spans="2:2" x14ac:dyDescent="0.25">
      <c r="B10943" s="1"/>
    </row>
    <row r="10944" spans="2:2" x14ac:dyDescent="0.25">
      <c r="B10944" s="1"/>
    </row>
    <row r="10945" spans="2:2" x14ac:dyDescent="0.25">
      <c r="B10945" s="1"/>
    </row>
    <row r="10946" spans="2:2" x14ac:dyDescent="0.25">
      <c r="B10946" s="1"/>
    </row>
    <row r="10947" spans="2:2" x14ac:dyDescent="0.25">
      <c r="B10947" s="1"/>
    </row>
    <row r="10948" spans="2:2" x14ac:dyDescent="0.25">
      <c r="B10948" s="1"/>
    </row>
    <row r="10949" spans="2:2" x14ac:dyDescent="0.25">
      <c r="B10949" s="1"/>
    </row>
    <row r="10950" spans="2:2" x14ac:dyDescent="0.25">
      <c r="B10950" s="1"/>
    </row>
    <row r="10951" spans="2:2" x14ac:dyDescent="0.25">
      <c r="B10951" s="1"/>
    </row>
    <row r="10952" spans="2:2" x14ac:dyDescent="0.25">
      <c r="B10952" s="1"/>
    </row>
    <row r="10953" spans="2:2" x14ac:dyDescent="0.25">
      <c r="B10953" s="1"/>
    </row>
    <row r="10954" spans="2:2" x14ac:dyDescent="0.25">
      <c r="B10954" s="1"/>
    </row>
    <row r="10955" spans="2:2" x14ac:dyDescent="0.25">
      <c r="B10955" s="1"/>
    </row>
    <row r="10956" spans="2:2" x14ac:dyDescent="0.25">
      <c r="B10956" s="1"/>
    </row>
    <row r="10957" spans="2:2" x14ac:dyDescent="0.25">
      <c r="B10957" s="1"/>
    </row>
    <row r="10958" spans="2:2" x14ac:dyDescent="0.25">
      <c r="B10958" s="1"/>
    </row>
    <row r="10959" spans="2:2" x14ac:dyDescent="0.25">
      <c r="B10959" s="1"/>
    </row>
    <row r="10960" spans="2:2" x14ac:dyDescent="0.25">
      <c r="B10960" s="1"/>
    </row>
    <row r="10961" spans="2:2" x14ac:dyDescent="0.25">
      <c r="B10961" s="1"/>
    </row>
    <row r="10962" spans="2:2" x14ac:dyDescent="0.25">
      <c r="B10962" s="1"/>
    </row>
    <row r="10963" spans="2:2" x14ac:dyDescent="0.25">
      <c r="B10963" s="1"/>
    </row>
    <row r="10964" spans="2:2" x14ac:dyDescent="0.25">
      <c r="B10964" s="1"/>
    </row>
    <row r="10965" spans="2:2" x14ac:dyDescent="0.25">
      <c r="B10965" s="1"/>
    </row>
    <row r="10966" spans="2:2" x14ac:dyDescent="0.25">
      <c r="B10966" s="1"/>
    </row>
    <row r="10967" spans="2:2" x14ac:dyDescent="0.25">
      <c r="B10967" s="1"/>
    </row>
    <row r="10968" spans="2:2" x14ac:dyDescent="0.25">
      <c r="B10968" s="1"/>
    </row>
    <row r="10969" spans="2:2" x14ac:dyDescent="0.25">
      <c r="B10969" s="1"/>
    </row>
    <row r="10970" spans="2:2" x14ac:dyDescent="0.25">
      <c r="B10970" s="1"/>
    </row>
    <row r="10971" spans="2:2" x14ac:dyDescent="0.25">
      <c r="B10971" s="1"/>
    </row>
    <row r="10972" spans="2:2" x14ac:dyDescent="0.25">
      <c r="B10972" s="1"/>
    </row>
    <row r="10973" spans="2:2" x14ac:dyDescent="0.25">
      <c r="B10973" s="1"/>
    </row>
    <row r="10974" spans="2:2" x14ac:dyDescent="0.25">
      <c r="B10974" s="1"/>
    </row>
    <row r="10975" spans="2:2" x14ac:dyDescent="0.25">
      <c r="B10975" s="1"/>
    </row>
    <row r="10976" spans="2:2" x14ac:dyDescent="0.25">
      <c r="B10976" s="1"/>
    </row>
    <row r="10977" spans="2:2" x14ac:dyDescent="0.25">
      <c r="B10977" s="1"/>
    </row>
    <row r="10978" spans="2:2" x14ac:dyDescent="0.25">
      <c r="B10978" s="1"/>
    </row>
    <row r="10979" spans="2:2" x14ac:dyDescent="0.25">
      <c r="B10979" s="1"/>
    </row>
    <row r="10980" spans="2:2" x14ac:dyDescent="0.25">
      <c r="B10980" s="1"/>
    </row>
    <row r="10981" spans="2:2" x14ac:dyDescent="0.25">
      <c r="B10981" s="1"/>
    </row>
    <row r="10982" spans="2:2" x14ac:dyDescent="0.25">
      <c r="B10982" s="1"/>
    </row>
    <row r="10983" spans="2:2" x14ac:dyDescent="0.25">
      <c r="B10983" s="1"/>
    </row>
    <row r="10984" spans="2:2" x14ac:dyDescent="0.25">
      <c r="B10984" s="1"/>
    </row>
    <row r="10985" spans="2:2" x14ac:dyDescent="0.25">
      <c r="B10985" s="1"/>
    </row>
    <row r="10986" spans="2:2" x14ac:dyDescent="0.25">
      <c r="B10986" s="1"/>
    </row>
    <row r="10987" spans="2:2" x14ac:dyDescent="0.25">
      <c r="B10987" s="1"/>
    </row>
    <row r="10988" spans="2:2" x14ac:dyDescent="0.25">
      <c r="B10988" s="1"/>
    </row>
    <row r="10989" spans="2:2" x14ac:dyDescent="0.25">
      <c r="B10989" s="1"/>
    </row>
    <row r="10990" spans="2:2" x14ac:dyDescent="0.25">
      <c r="B10990" s="1"/>
    </row>
    <row r="10991" spans="2:2" x14ac:dyDescent="0.25">
      <c r="B10991" s="1"/>
    </row>
    <row r="10992" spans="2:2" x14ac:dyDescent="0.25">
      <c r="B10992" s="1"/>
    </row>
    <row r="10993" spans="2:2" x14ac:dyDescent="0.25">
      <c r="B10993" s="1"/>
    </row>
    <row r="10994" spans="2:2" x14ac:dyDescent="0.25">
      <c r="B10994" s="1"/>
    </row>
    <row r="10995" spans="2:2" x14ac:dyDescent="0.25">
      <c r="B10995" s="1"/>
    </row>
    <row r="10996" spans="2:2" x14ac:dyDescent="0.25">
      <c r="B10996" s="1"/>
    </row>
    <row r="10997" spans="2:2" x14ac:dyDescent="0.25">
      <c r="B10997" s="1"/>
    </row>
    <row r="10998" spans="2:2" x14ac:dyDescent="0.25">
      <c r="B10998" s="1"/>
    </row>
    <row r="10999" spans="2:2" x14ac:dyDescent="0.25">
      <c r="B10999" s="1"/>
    </row>
    <row r="11000" spans="2:2" x14ac:dyDescent="0.25">
      <c r="B11000" s="1"/>
    </row>
    <row r="11001" spans="2:2" x14ac:dyDescent="0.25">
      <c r="B11001" s="1"/>
    </row>
    <row r="11002" spans="2:2" x14ac:dyDescent="0.25">
      <c r="B11002" s="1"/>
    </row>
    <row r="11003" spans="2:2" x14ac:dyDescent="0.25">
      <c r="B11003" s="1"/>
    </row>
    <row r="11004" spans="2:2" x14ac:dyDescent="0.25">
      <c r="B11004" s="1"/>
    </row>
    <row r="11005" spans="2:2" x14ac:dyDescent="0.25">
      <c r="B11005" s="1"/>
    </row>
    <row r="11006" spans="2:2" x14ac:dyDescent="0.25">
      <c r="B11006" s="1"/>
    </row>
    <row r="11007" spans="2:2" x14ac:dyDescent="0.25">
      <c r="B11007" s="1"/>
    </row>
    <row r="11008" spans="2:2" x14ac:dyDescent="0.25">
      <c r="B11008" s="1"/>
    </row>
    <row r="11009" spans="2:2" x14ac:dyDescent="0.25">
      <c r="B11009" s="1"/>
    </row>
    <row r="11010" spans="2:2" x14ac:dyDescent="0.25">
      <c r="B11010" s="1"/>
    </row>
    <row r="11011" spans="2:2" x14ac:dyDescent="0.25">
      <c r="B11011" s="1"/>
    </row>
    <row r="11012" spans="2:2" x14ac:dyDescent="0.25">
      <c r="B11012" s="1"/>
    </row>
    <row r="11013" spans="2:2" x14ac:dyDescent="0.25">
      <c r="B11013" s="1"/>
    </row>
    <row r="11014" spans="2:2" x14ac:dyDescent="0.25">
      <c r="B11014" s="1"/>
    </row>
    <row r="11015" spans="2:2" x14ac:dyDescent="0.25">
      <c r="B11015" s="1"/>
    </row>
    <row r="11016" spans="2:2" x14ac:dyDescent="0.25">
      <c r="B11016" s="1"/>
    </row>
    <row r="11017" spans="2:2" x14ac:dyDescent="0.25">
      <c r="B11017" s="1"/>
    </row>
    <row r="11018" spans="2:2" x14ac:dyDescent="0.25">
      <c r="B11018" s="1"/>
    </row>
    <row r="11019" spans="2:2" x14ac:dyDescent="0.25">
      <c r="B11019" s="1"/>
    </row>
    <row r="11020" spans="2:2" x14ac:dyDescent="0.25">
      <c r="B11020" s="1"/>
    </row>
    <row r="11021" spans="2:2" x14ac:dyDescent="0.25">
      <c r="B11021" s="1"/>
    </row>
    <row r="11022" spans="2:2" x14ac:dyDescent="0.25">
      <c r="B11022" s="1"/>
    </row>
    <row r="11023" spans="2:2" x14ac:dyDescent="0.25">
      <c r="B11023" s="1"/>
    </row>
    <row r="11024" spans="2:2" x14ac:dyDescent="0.25">
      <c r="B11024" s="1"/>
    </row>
    <row r="11025" spans="2:2" x14ac:dyDescent="0.25">
      <c r="B11025" s="1"/>
    </row>
    <row r="11026" spans="2:2" x14ac:dyDescent="0.25">
      <c r="B11026" s="1"/>
    </row>
    <row r="11027" spans="2:2" x14ac:dyDescent="0.25">
      <c r="B11027" s="1"/>
    </row>
    <row r="11028" spans="2:2" x14ac:dyDescent="0.25">
      <c r="B11028" s="1"/>
    </row>
    <row r="11029" spans="2:2" x14ac:dyDescent="0.25">
      <c r="B11029" s="1"/>
    </row>
    <row r="11030" spans="2:2" x14ac:dyDescent="0.25">
      <c r="B11030" s="1"/>
    </row>
    <row r="11031" spans="2:2" x14ac:dyDescent="0.25">
      <c r="B11031" s="1"/>
    </row>
    <row r="11032" spans="2:2" x14ac:dyDescent="0.25">
      <c r="B11032" s="1"/>
    </row>
    <row r="11033" spans="2:2" x14ac:dyDescent="0.25">
      <c r="B11033" s="1"/>
    </row>
    <row r="11034" spans="2:2" x14ac:dyDescent="0.25">
      <c r="B11034" s="1"/>
    </row>
    <row r="11035" spans="2:2" x14ac:dyDescent="0.25">
      <c r="B11035" s="1"/>
    </row>
    <row r="11036" spans="2:2" x14ac:dyDescent="0.25">
      <c r="B11036" s="1"/>
    </row>
    <row r="11037" spans="2:2" x14ac:dyDescent="0.25">
      <c r="B11037" s="1"/>
    </row>
    <row r="11038" spans="2:2" x14ac:dyDescent="0.25">
      <c r="B11038" s="1"/>
    </row>
    <row r="11039" spans="2:2" x14ac:dyDescent="0.25">
      <c r="B11039" s="1"/>
    </row>
    <row r="11040" spans="2:2" x14ac:dyDescent="0.25">
      <c r="B11040" s="1"/>
    </row>
    <row r="11041" spans="2:2" x14ac:dyDescent="0.25">
      <c r="B11041" s="1"/>
    </row>
    <row r="11042" spans="2:2" x14ac:dyDescent="0.25">
      <c r="B11042" s="1"/>
    </row>
    <row r="11043" spans="2:2" x14ac:dyDescent="0.25">
      <c r="B11043" s="1"/>
    </row>
    <row r="11044" spans="2:2" x14ac:dyDescent="0.25">
      <c r="B11044" s="1"/>
    </row>
    <row r="11045" spans="2:2" x14ac:dyDescent="0.25">
      <c r="B11045" s="1"/>
    </row>
    <row r="11046" spans="2:2" x14ac:dyDescent="0.25">
      <c r="B11046" s="1"/>
    </row>
    <row r="11047" spans="2:2" x14ac:dyDescent="0.25">
      <c r="B11047" s="1"/>
    </row>
    <row r="11048" spans="2:2" x14ac:dyDescent="0.25">
      <c r="B11048" s="1"/>
    </row>
    <row r="11049" spans="2:2" x14ac:dyDescent="0.25">
      <c r="B11049" s="1"/>
    </row>
    <row r="11050" spans="2:2" x14ac:dyDescent="0.25">
      <c r="B11050" s="1"/>
    </row>
    <row r="11051" spans="2:2" x14ac:dyDescent="0.25">
      <c r="B11051" s="1"/>
    </row>
    <row r="11052" spans="2:2" x14ac:dyDescent="0.25">
      <c r="B11052" s="1"/>
    </row>
    <row r="11053" spans="2:2" x14ac:dyDescent="0.25">
      <c r="B11053" s="1"/>
    </row>
    <row r="11054" spans="2:2" x14ac:dyDescent="0.25">
      <c r="B11054" s="1"/>
    </row>
    <row r="11055" spans="2:2" x14ac:dyDescent="0.25">
      <c r="B11055" s="1"/>
    </row>
    <row r="11056" spans="2:2" x14ac:dyDescent="0.25">
      <c r="B11056" s="1"/>
    </row>
    <row r="11057" spans="2:2" x14ac:dyDescent="0.25">
      <c r="B11057" s="1"/>
    </row>
    <row r="11058" spans="2:2" x14ac:dyDescent="0.25">
      <c r="B11058" s="1"/>
    </row>
    <row r="11059" spans="2:2" x14ac:dyDescent="0.25">
      <c r="B11059" s="1"/>
    </row>
    <row r="11060" spans="2:2" x14ac:dyDescent="0.25">
      <c r="B11060" s="1"/>
    </row>
    <row r="11061" spans="2:2" x14ac:dyDescent="0.25">
      <c r="B11061" s="1"/>
    </row>
    <row r="11062" spans="2:2" x14ac:dyDescent="0.25">
      <c r="B11062" s="1"/>
    </row>
    <row r="11063" spans="2:2" x14ac:dyDescent="0.25">
      <c r="B11063" s="1"/>
    </row>
    <row r="11064" spans="2:2" x14ac:dyDescent="0.25">
      <c r="B11064" s="1"/>
    </row>
    <row r="11065" spans="2:2" x14ac:dyDescent="0.25">
      <c r="B11065" s="1"/>
    </row>
    <row r="11066" spans="2:2" x14ac:dyDescent="0.25">
      <c r="B11066" s="1"/>
    </row>
    <row r="11067" spans="2:2" x14ac:dyDescent="0.25">
      <c r="B11067" s="1"/>
    </row>
    <row r="11068" spans="2:2" x14ac:dyDescent="0.25">
      <c r="B11068" s="1"/>
    </row>
    <row r="11069" spans="2:2" x14ac:dyDescent="0.25">
      <c r="B11069" s="1"/>
    </row>
    <row r="11070" spans="2:2" x14ac:dyDescent="0.25">
      <c r="B11070" s="1"/>
    </row>
    <row r="11071" spans="2:2" x14ac:dyDescent="0.25">
      <c r="B11071" s="1"/>
    </row>
    <row r="11072" spans="2:2" x14ac:dyDescent="0.25">
      <c r="B11072" s="1"/>
    </row>
    <row r="11073" spans="2:2" x14ac:dyDescent="0.25">
      <c r="B11073" s="1"/>
    </row>
    <row r="11074" spans="2:2" x14ac:dyDescent="0.25">
      <c r="B11074" s="1"/>
    </row>
    <row r="11075" spans="2:2" x14ac:dyDescent="0.25">
      <c r="B11075" s="1"/>
    </row>
    <row r="11076" spans="2:2" x14ac:dyDescent="0.25">
      <c r="B11076" s="1"/>
    </row>
    <row r="11077" spans="2:2" x14ac:dyDescent="0.25">
      <c r="B11077" s="1"/>
    </row>
    <row r="11078" spans="2:2" x14ac:dyDescent="0.25">
      <c r="B11078" s="1"/>
    </row>
    <row r="11079" spans="2:2" x14ac:dyDescent="0.25">
      <c r="B11079" s="1"/>
    </row>
    <row r="11080" spans="2:2" x14ac:dyDescent="0.25">
      <c r="B11080" s="1"/>
    </row>
    <row r="11081" spans="2:2" x14ac:dyDescent="0.25">
      <c r="B11081" s="1"/>
    </row>
    <row r="11082" spans="2:2" x14ac:dyDescent="0.25">
      <c r="B11082" s="1"/>
    </row>
    <row r="11083" spans="2:2" x14ac:dyDescent="0.25">
      <c r="B11083" s="1"/>
    </row>
    <row r="11084" spans="2:2" x14ac:dyDescent="0.25">
      <c r="B11084" s="1"/>
    </row>
    <row r="11085" spans="2:2" x14ac:dyDescent="0.25">
      <c r="B11085" s="1"/>
    </row>
    <row r="11086" spans="2:2" x14ac:dyDescent="0.25">
      <c r="B11086" s="1"/>
    </row>
    <row r="11087" spans="2:2" x14ac:dyDescent="0.25">
      <c r="B11087" s="1"/>
    </row>
    <row r="11088" spans="2:2" x14ac:dyDescent="0.25">
      <c r="B11088" s="1"/>
    </row>
    <row r="11089" spans="2:2" x14ac:dyDescent="0.25">
      <c r="B11089" s="1"/>
    </row>
    <row r="11090" spans="2:2" x14ac:dyDescent="0.25">
      <c r="B11090" s="1"/>
    </row>
    <row r="11091" spans="2:2" x14ac:dyDescent="0.25">
      <c r="B11091" s="1"/>
    </row>
    <row r="11092" spans="2:2" x14ac:dyDescent="0.25">
      <c r="B11092" s="1"/>
    </row>
    <row r="11093" spans="2:2" x14ac:dyDescent="0.25">
      <c r="B11093" s="1"/>
    </row>
    <row r="11094" spans="2:2" x14ac:dyDescent="0.25">
      <c r="B11094" s="1"/>
    </row>
    <row r="11095" spans="2:2" x14ac:dyDescent="0.25">
      <c r="B11095" s="1"/>
    </row>
    <row r="11096" spans="2:2" x14ac:dyDescent="0.25">
      <c r="B11096" s="1"/>
    </row>
    <row r="11097" spans="2:2" x14ac:dyDescent="0.25">
      <c r="B11097" s="1"/>
    </row>
    <row r="11098" spans="2:2" x14ac:dyDescent="0.25">
      <c r="B11098" s="1"/>
    </row>
    <row r="11099" spans="2:2" x14ac:dyDescent="0.25">
      <c r="B11099" s="1"/>
    </row>
    <row r="11100" spans="2:2" x14ac:dyDescent="0.25">
      <c r="B11100" s="1"/>
    </row>
    <row r="11101" spans="2:2" x14ac:dyDescent="0.25">
      <c r="B11101" s="1"/>
    </row>
    <row r="11102" spans="2:2" x14ac:dyDescent="0.25">
      <c r="B11102" s="1"/>
    </row>
    <row r="11103" spans="2:2" x14ac:dyDescent="0.25">
      <c r="B11103" s="1"/>
    </row>
    <row r="11104" spans="2:2" x14ac:dyDescent="0.25">
      <c r="B11104" s="1"/>
    </row>
    <row r="11105" spans="2:2" x14ac:dyDescent="0.25">
      <c r="B11105" s="1"/>
    </row>
    <row r="11106" spans="2:2" x14ac:dyDescent="0.25">
      <c r="B11106" s="1"/>
    </row>
    <row r="11107" spans="2:2" x14ac:dyDescent="0.25">
      <c r="B11107" s="1"/>
    </row>
    <row r="11108" spans="2:2" x14ac:dyDescent="0.25">
      <c r="B11108" s="1"/>
    </row>
    <row r="11109" spans="2:2" x14ac:dyDescent="0.25">
      <c r="B11109" s="1"/>
    </row>
    <row r="11110" spans="2:2" x14ac:dyDescent="0.25">
      <c r="B11110" s="1"/>
    </row>
    <row r="11111" spans="2:2" x14ac:dyDescent="0.25">
      <c r="B11111" s="1"/>
    </row>
    <row r="11112" spans="2:2" x14ac:dyDescent="0.25">
      <c r="B11112" s="1"/>
    </row>
    <row r="11113" spans="2:2" x14ac:dyDescent="0.25">
      <c r="B11113" s="1"/>
    </row>
    <row r="11114" spans="2:2" x14ac:dyDescent="0.25">
      <c r="B11114" s="1"/>
    </row>
    <row r="11115" spans="2:2" x14ac:dyDescent="0.25">
      <c r="B11115" s="1"/>
    </row>
    <row r="11116" spans="2:2" x14ac:dyDescent="0.25">
      <c r="B11116" s="1"/>
    </row>
    <row r="11117" spans="2:2" x14ac:dyDescent="0.25">
      <c r="B11117" s="1"/>
    </row>
    <row r="11118" spans="2:2" x14ac:dyDescent="0.25">
      <c r="B11118" s="1"/>
    </row>
    <row r="11119" spans="2:2" x14ac:dyDescent="0.25">
      <c r="B11119" s="1"/>
    </row>
    <row r="11120" spans="2:2" x14ac:dyDescent="0.25">
      <c r="B11120" s="1"/>
    </row>
    <row r="11121" spans="2:2" x14ac:dyDescent="0.25">
      <c r="B11121" s="1"/>
    </row>
    <row r="11122" spans="2:2" x14ac:dyDescent="0.25">
      <c r="B11122" s="1"/>
    </row>
    <row r="11123" spans="2:2" x14ac:dyDescent="0.25">
      <c r="B11123" s="1"/>
    </row>
    <row r="11124" spans="2:2" x14ac:dyDescent="0.25">
      <c r="B11124" s="1"/>
    </row>
    <row r="11125" spans="2:2" x14ac:dyDescent="0.25">
      <c r="B11125" s="1"/>
    </row>
    <row r="11126" spans="2:2" x14ac:dyDescent="0.25">
      <c r="B11126" s="1"/>
    </row>
    <row r="11127" spans="2:2" x14ac:dyDescent="0.25">
      <c r="B11127" s="1"/>
    </row>
    <row r="11128" spans="2:2" x14ac:dyDescent="0.25">
      <c r="B11128" s="1"/>
    </row>
    <row r="11129" spans="2:2" x14ac:dyDescent="0.25">
      <c r="B11129" s="1"/>
    </row>
    <row r="11130" spans="2:2" x14ac:dyDescent="0.25">
      <c r="B11130" s="1"/>
    </row>
    <row r="11131" spans="2:2" x14ac:dyDescent="0.25">
      <c r="B11131" s="1"/>
    </row>
    <row r="11132" spans="2:2" x14ac:dyDescent="0.25">
      <c r="B11132" s="1"/>
    </row>
    <row r="11133" spans="2:2" x14ac:dyDescent="0.25">
      <c r="B11133" s="1"/>
    </row>
    <row r="11134" spans="2:2" x14ac:dyDescent="0.25">
      <c r="B11134" s="1"/>
    </row>
    <row r="11135" spans="2:2" x14ac:dyDescent="0.25">
      <c r="B11135" s="1"/>
    </row>
    <row r="11136" spans="2:2" x14ac:dyDescent="0.25">
      <c r="B11136" s="1"/>
    </row>
    <row r="11137" spans="2:2" x14ac:dyDescent="0.25">
      <c r="B11137" s="1"/>
    </row>
    <row r="11138" spans="2:2" x14ac:dyDescent="0.25">
      <c r="B11138" s="1"/>
    </row>
    <row r="11139" spans="2:2" x14ac:dyDescent="0.25">
      <c r="B11139" s="1"/>
    </row>
    <row r="11140" spans="2:2" x14ac:dyDescent="0.25">
      <c r="B11140" s="1"/>
    </row>
    <row r="11141" spans="2:2" x14ac:dyDescent="0.25">
      <c r="B11141" s="1"/>
    </row>
    <row r="11142" spans="2:2" x14ac:dyDescent="0.25">
      <c r="B11142" s="1"/>
    </row>
    <row r="11143" spans="2:2" x14ac:dyDescent="0.25">
      <c r="B11143" s="1"/>
    </row>
    <row r="11144" spans="2:2" x14ac:dyDescent="0.25">
      <c r="B11144" s="1"/>
    </row>
    <row r="11145" spans="2:2" x14ac:dyDescent="0.25">
      <c r="B11145" s="1"/>
    </row>
    <row r="11146" spans="2:2" x14ac:dyDescent="0.25">
      <c r="B11146" s="1"/>
    </row>
    <row r="11147" spans="2:2" x14ac:dyDescent="0.25">
      <c r="B11147" s="1"/>
    </row>
    <row r="11148" spans="2:2" x14ac:dyDescent="0.25">
      <c r="B11148" s="1"/>
    </row>
    <row r="11149" spans="2:2" x14ac:dyDescent="0.25">
      <c r="B11149" s="1"/>
    </row>
    <row r="11150" spans="2:2" x14ac:dyDescent="0.25">
      <c r="B11150" s="1"/>
    </row>
    <row r="11151" spans="2:2" x14ac:dyDescent="0.25">
      <c r="B11151" s="1"/>
    </row>
    <row r="11152" spans="2:2" x14ac:dyDescent="0.25">
      <c r="B11152" s="1"/>
    </row>
    <row r="11153" spans="2:2" x14ac:dyDescent="0.25">
      <c r="B11153" s="1"/>
    </row>
    <row r="11154" spans="2:2" x14ac:dyDescent="0.25">
      <c r="B11154" s="1"/>
    </row>
    <row r="11155" spans="2:2" x14ac:dyDescent="0.25">
      <c r="B11155" s="1"/>
    </row>
    <row r="11156" spans="2:2" x14ac:dyDescent="0.25">
      <c r="B11156" s="1"/>
    </row>
    <row r="11157" spans="2:2" x14ac:dyDescent="0.25">
      <c r="B11157" s="1"/>
    </row>
    <row r="11158" spans="2:2" x14ac:dyDescent="0.25">
      <c r="B11158" s="1"/>
    </row>
    <row r="11159" spans="2:2" x14ac:dyDescent="0.25">
      <c r="B11159" s="1"/>
    </row>
    <row r="11160" spans="2:2" x14ac:dyDescent="0.25">
      <c r="B11160" s="1"/>
    </row>
    <row r="11161" spans="2:2" x14ac:dyDescent="0.25">
      <c r="B11161" s="1"/>
    </row>
    <row r="11162" spans="2:2" x14ac:dyDescent="0.25">
      <c r="B11162" s="1"/>
    </row>
    <row r="11163" spans="2:2" x14ac:dyDescent="0.25">
      <c r="B11163" s="1"/>
    </row>
    <row r="11164" spans="2:2" x14ac:dyDescent="0.25">
      <c r="B11164" s="1"/>
    </row>
    <row r="11165" spans="2:2" x14ac:dyDescent="0.25">
      <c r="B11165" s="1"/>
    </row>
    <row r="11166" spans="2:2" x14ac:dyDescent="0.25">
      <c r="B11166" s="1"/>
    </row>
    <row r="11167" spans="2:2" x14ac:dyDescent="0.25">
      <c r="B11167" s="1"/>
    </row>
    <row r="11168" spans="2:2" x14ac:dyDescent="0.25">
      <c r="B11168" s="1"/>
    </row>
    <row r="11169" spans="2:2" x14ac:dyDescent="0.25">
      <c r="B11169" s="1"/>
    </row>
    <row r="11170" spans="2:2" x14ac:dyDescent="0.25">
      <c r="B11170" s="1"/>
    </row>
    <row r="11171" spans="2:2" x14ac:dyDescent="0.25">
      <c r="B11171" s="1"/>
    </row>
    <row r="11172" spans="2:2" x14ac:dyDescent="0.25">
      <c r="B11172" s="1"/>
    </row>
    <row r="11173" spans="2:2" x14ac:dyDescent="0.25">
      <c r="B11173" s="1"/>
    </row>
    <row r="11174" spans="2:2" x14ac:dyDescent="0.25">
      <c r="B11174" s="1"/>
    </row>
    <row r="11175" spans="2:2" x14ac:dyDescent="0.25">
      <c r="B11175" s="1"/>
    </row>
    <row r="11176" spans="2:2" x14ac:dyDescent="0.25">
      <c r="B11176" s="1"/>
    </row>
    <row r="11177" spans="2:2" x14ac:dyDescent="0.25">
      <c r="B11177" s="1"/>
    </row>
    <row r="11178" spans="2:2" x14ac:dyDescent="0.25">
      <c r="B11178" s="1"/>
    </row>
    <row r="11179" spans="2:2" x14ac:dyDescent="0.25">
      <c r="B11179" s="1"/>
    </row>
    <row r="11180" spans="2:2" x14ac:dyDescent="0.25">
      <c r="B11180" s="1"/>
    </row>
    <row r="11181" spans="2:2" x14ac:dyDescent="0.25">
      <c r="B11181" s="1"/>
    </row>
    <row r="11182" spans="2:2" x14ac:dyDescent="0.25">
      <c r="B11182" s="1"/>
    </row>
    <row r="11183" spans="2:2" x14ac:dyDescent="0.25">
      <c r="B11183" s="1"/>
    </row>
    <row r="11184" spans="2:2" x14ac:dyDescent="0.25">
      <c r="B11184" s="1"/>
    </row>
    <row r="11185" spans="2:2" x14ac:dyDescent="0.25">
      <c r="B11185" s="1"/>
    </row>
    <row r="11186" spans="2:2" x14ac:dyDescent="0.25">
      <c r="B11186" s="1"/>
    </row>
    <row r="11187" spans="2:2" x14ac:dyDescent="0.25">
      <c r="B11187" s="1"/>
    </row>
    <row r="11188" spans="2:2" x14ac:dyDescent="0.25">
      <c r="B11188" s="1"/>
    </row>
    <row r="11189" spans="2:2" x14ac:dyDescent="0.25">
      <c r="B11189" s="1"/>
    </row>
    <row r="11190" spans="2:2" x14ac:dyDescent="0.25">
      <c r="B11190" s="1"/>
    </row>
    <row r="11191" spans="2:2" x14ac:dyDescent="0.25">
      <c r="B11191" s="1"/>
    </row>
    <row r="11192" spans="2:2" x14ac:dyDescent="0.25">
      <c r="B11192" s="1"/>
    </row>
    <row r="11193" spans="2:2" x14ac:dyDescent="0.25">
      <c r="B11193" s="1"/>
    </row>
    <row r="11194" spans="2:2" x14ac:dyDescent="0.25">
      <c r="B11194" s="1"/>
    </row>
    <row r="11195" spans="2:2" x14ac:dyDescent="0.25">
      <c r="B11195" s="1"/>
    </row>
    <row r="11196" spans="2:2" x14ac:dyDescent="0.25">
      <c r="B11196" s="1"/>
    </row>
    <row r="11197" spans="2:2" x14ac:dyDescent="0.25">
      <c r="B11197" s="1"/>
    </row>
    <row r="11198" spans="2:2" x14ac:dyDescent="0.25">
      <c r="B11198" s="1"/>
    </row>
    <row r="11199" spans="2:2" x14ac:dyDescent="0.25">
      <c r="B11199" s="1"/>
    </row>
    <row r="11200" spans="2:2" x14ac:dyDescent="0.25">
      <c r="B11200" s="1"/>
    </row>
    <row r="11201" spans="2:2" x14ac:dyDescent="0.25">
      <c r="B11201" s="1"/>
    </row>
    <row r="11202" spans="2:2" x14ac:dyDescent="0.25">
      <c r="B11202" s="1"/>
    </row>
    <row r="11203" spans="2:2" x14ac:dyDescent="0.25">
      <c r="B11203" s="1"/>
    </row>
    <row r="11204" spans="2:2" x14ac:dyDescent="0.25">
      <c r="B11204" s="1"/>
    </row>
    <row r="11205" spans="2:2" x14ac:dyDescent="0.25">
      <c r="B11205" s="1"/>
    </row>
    <row r="11206" spans="2:2" x14ac:dyDescent="0.25">
      <c r="B11206" s="1"/>
    </row>
    <row r="11207" spans="2:2" x14ac:dyDescent="0.25">
      <c r="B11207" s="1"/>
    </row>
    <row r="11208" spans="2:2" x14ac:dyDescent="0.25">
      <c r="B11208" s="1"/>
    </row>
    <row r="11209" spans="2:2" x14ac:dyDescent="0.25">
      <c r="B11209" s="1"/>
    </row>
    <row r="11210" spans="2:2" x14ac:dyDescent="0.25">
      <c r="B11210" s="1"/>
    </row>
    <row r="11211" spans="2:2" x14ac:dyDescent="0.25">
      <c r="B11211" s="1"/>
    </row>
    <row r="11212" spans="2:2" x14ac:dyDescent="0.25">
      <c r="B11212" s="1"/>
    </row>
    <row r="11213" spans="2:2" x14ac:dyDescent="0.25">
      <c r="B11213" s="1"/>
    </row>
    <row r="11214" spans="2:2" x14ac:dyDescent="0.25">
      <c r="B11214" s="1"/>
    </row>
    <row r="11215" spans="2:2" x14ac:dyDescent="0.25">
      <c r="B11215" s="1"/>
    </row>
    <row r="11216" spans="2:2" x14ac:dyDescent="0.25">
      <c r="B11216" s="1"/>
    </row>
    <row r="11217" spans="2:2" x14ac:dyDescent="0.25">
      <c r="B11217" s="1"/>
    </row>
    <row r="11218" spans="2:2" x14ac:dyDescent="0.25">
      <c r="B11218" s="1"/>
    </row>
    <row r="11219" spans="2:2" x14ac:dyDescent="0.25">
      <c r="B11219" s="1"/>
    </row>
    <row r="11220" spans="2:2" x14ac:dyDescent="0.25">
      <c r="B11220" s="1"/>
    </row>
    <row r="11221" spans="2:2" x14ac:dyDescent="0.25">
      <c r="B11221" s="1"/>
    </row>
    <row r="11222" spans="2:2" x14ac:dyDescent="0.25">
      <c r="B11222" s="1"/>
    </row>
    <row r="11223" spans="2:2" x14ac:dyDescent="0.25">
      <c r="B11223" s="1"/>
    </row>
    <row r="11224" spans="2:2" x14ac:dyDescent="0.25">
      <c r="B11224" s="1"/>
    </row>
    <row r="11225" spans="2:2" x14ac:dyDescent="0.25">
      <c r="B11225" s="1"/>
    </row>
    <row r="11226" spans="2:2" x14ac:dyDescent="0.25">
      <c r="B11226" s="1"/>
    </row>
    <row r="11227" spans="2:2" x14ac:dyDescent="0.25">
      <c r="B11227" s="1"/>
    </row>
    <row r="11228" spans="2:2" x14ac:dyDescent="0.25">
      <c r="B11228" s="1"/>
    </row>
    <row r="11229" spans="2:2" x14ac:dyDescent="0.25">
      <c r="B11229" s="1"/>
    </row>
    <row r="11230" spans="2:2" x14ac:dyDescent="0.25">
      <c r="B11230" s="1"/>
    </row>
    <row r="11231" spans="2:2" x14ac:dyDescent="0.25">
      <c r="B11231" s="1"/>
    </row>
    <row r="11232" spans="2:2" x14ac:dyDescent="0.25">
      <c r="B11232" s="1"/>
    </row>
    <row r="11233" spans="2:2" x14ac:dyDescent="0.25">
      <c r="B11233" s="1"/>
    </row>
    <row r="11234" spans="2:2" x14ac:dyDescent="0.25">
      <c r="B11234" s="1"/>
    </row>
    <row r="11235" spans="2:2" x14ac:dyDescent="0.25">
      <c r="B11235" s="1"/>
    </row>
    <row r="11236" spans="2:2" x14ac:dyDescent="0.25">
      <c r="B11236" s="1"/>
    </row>
    <row r="11237" spans="2:2" x14ac:dyDescent="0.25">
      <c r="B11237" s="1"/>
    </row>
    <row r="11238" spans="2:2" x14ac:dyDescent="0.25">
      <c r="B11238" s="1"/>
    </row>
    <row r="11239" spans="2:2" x14ac:dyDescent="0.25">
      <c r="B11239" s="1"/>
    </row>
    <row r="11240" spans="2:2" x14ac:dyDescent="0.25">
      <c r="B11240" s="1"/>
    </row>
    <row r="11241" spans="2:2" x14ac:dyDescent="0.25">
      <c r="B11241" s="1"/>
    </row>
    <row r="11242" spans="2:2" x14ac:dyDescent="0.25">
      <c r="B11242" s="1"/>
    </row>
    <row r="11243" spans="2:2" x14ac:dyDescent="0.25">
      <c r="B11243" s="1"/>
    </row>
    <row r="11244" spans="2:2" x14ac:dyDescent="0.25">
      <c r="B11244" s="1"/>
    </row>
    <row r="11245" spans="2:2" x14ac:dyDescent="0.25">
      <c r="B11245" s="1"/>
    </row>
    <row r="11246" spans="2:2" x14ac:dyDescent="0.25">
      <c r="B11246" s="1"/>
    </row>
    <row r="11247" spans="2:2" x14ac:dyDescent="0.25">
      <c r="B11247" s="1"/>
    </row>
    <row r="11248" spans="2:2" x14ac:dyDescent="0.25">
      <c r="B11248" s="1"/>
    </row>
    <row r="11249" spans="2:2" x14ac:dyDescent="0.25">
      <c r="B11249" s="1"/>
    </row>
    <row r="11250" spans="2:2" x14ac:dyDescent="0.25">
      <c r="B11250" s="1"/>
    </row>
    <row r="11251" spans="2:2" x14ac:dyDescent="0.25">
      <c r="B11251" s="1"/>
    </row>
    <row r="11252" spans="2:2" x14ac:dyDescent="0.25">
      <c r="B11252" s="1"/>
    </row>
    <row r="11253" spans="2:2" x14ac:dyDescent="0.25">
      <c r="B11253" s="1"/>
    </row>
    <row r="11254" spans="2:2" x14ac:dyDescent="0.25">
      <c r="B11254" s="1"/>
    </row>
    <row r="11255" spans="2:2" x14ac:dyDescent="0.25">
      <c r="B11255" s="1"/>
    </row>
    <row r="11256" spans="2:2" x14ac:dyDescent="0.25">
      <c r="B11256" s="1"/>
    </row>
    <row r="11257" spans="2:2" x14ac:dyDescent="0.25">
      <c r="B11257" s="1"/>
    </row>
    <row r="11258" spans="2:2" x14ac:dyDescent="0.25">
      <c r="B11258" s="1"/>
    </row>
    <row r="11259" spans="2:2" x14ac:dyDescent="0.25">
      <c r="B11259" s="1"/>
    </row>
    <row r="11260" spans="2:2" x14ac:dyDescent="0.25">
      <c r="B11260" s="1"/>
    </row>
    <row r="11261" spans="2:2" x14ac:dyDescent="0.25">
      <c r="B11261" s="1"/>
    </row>
    <row r="11262" spans="2:2" x14ac:dyDescent="0.25">
      <c r="B11262" s="1"/>
    </row>
    <row r="11263" spans="2:2" x14ac:dyDescent="0.25">
      <c r="B11263" s="1"/>
    </row>
    <row r="11264" spans="2:2" x14ac:dyDescent="0.25">
      <c r="B11264" s="1"/>
    </row>
    <row r="11265" spans="2:2" x14ac:dyDescent="0.25">
      <c r="B11265" s="1"/>
    </row>
    <row r="11266" spans="2:2" x14ac:dyDescent="0.25">
      <c r="B11266" s="1"/>
    </row>
    <row r="11267" spans="2:2" x14ac:dyDescent="0.25">
      <c r="B11267" s="1"/>
    </row>
    <row r="11268" spans="2:2" x14ac:dyDescent="0.25">
      <c r="B11268" s="1"/>
    </row>
    <row r="11269" spans="2:2" x14ac:dyDescent="0.25">
      <c r="B11269" s="1"/>
    </row>
    <row r="11270" spans="2:2" x14ac:dyDescent="0.25">
      <c r="B11270" s="1"/>
    </row>
    <row r="11271" spans="2:2" x14ac:dyDescent="0.25">
      <c r="B11271" s="1"/>
    </row>
    <row r="11272" spans="2:2" x14ac:dyDescent="0.25">
      <c r="B11272" s="1"/>
    </row>
    <row r="11273" spans="2:2" x14ac:dyDescent="0.25">
      <c r="B11273" s="1"/>
    </row>
    <row r="11274" spans="2:2" x14ac:dyDescent="0.25">
      <c r="B11274" s="1"/>
    </row>
    <row r="11275" spans="2:2" x14ac:dyDescent="0.25">
      <c r="B11275" s="1"/>
    </row>
    <row r="11276" spans="2:2" x14ac:dyDescent="0.25">
      <c r="B11276" s="1"/>
    </row>
    <row r="11277" spans="2:2" x14ac:dyDescent="0.25">
      <c r="B11277" s="1"/>
    </row>
    <row r="11278" spans="2:2" x14ac:dyDescent="0.25">
      <c r="B11278" s="1"/>
    </row>
    <row r="11279" spans="2:2" x14ac:dyDescent="0.25">
      <c r="B11279" s="1"/>
    </row>
    <row r="11280" spans="2:2" x14ac:dyDescent="0.25">
      <c r="B11280" s="1"/>
    </row>
    <row r="11281" spans="2:2" x14ac:dyDescent="0.25">
      <c r="B11281" s="1"/>
    </row>
    <row r="11282" spans="2:2" x14ac:dyDescent="0.25">
      <c r="B11282" s="1"/>
    </row>
    <row r="11283" spans="2:2" x14ac:dyDescent="0.25">
      <c r="B11283" s="1"/>
    </row>
    <row r="11284" spans="2:2" x14ac:dyDescent="0.25">
      <c r="B11284" s="1"/>
    </row>
    <row r="11285" spans="2:2" x14ac:dyDescent="0.25">
      <c r="B11285" s="1"/>
    </row>
    <row r="11286" spans="2:2" x14ac:dyDescent="0.25">
      <c r="B11286" s="1"/>
    </row>
    <row r="11287" spans="2:2" x14ac:dyDescent="0.25">
      <c r="B11287" s="1"/>
    </row>
    <row r="11288" spans="2:2" x14ac:dyDescent="0.25">
      <c r="B11288" s="1"/>
    </row>
    <row r="11289" spans="2:2" x14ac:dyDescent="0.25">
      <c r="B11289" s="1"/>
    </row>
    <row r="11290" spans="2:2" x14ac:dyDescent="0.25">
      <c r="B11290" s="1"/>
    </row>
    <row r="11291" spans="2:2" x14ac:dyDescent="0.25">
      <c r="B11291" s="1"/>
    </row>
    <row r="11292" spans="2:2" x14ac:dyDescent="0.25">
      <c r="B11292" s="1"/>
    </row>
    <row r="11293" spans="2:2" x14ac:dyDescent="0.25">
      <c r="B11293" s="1"/>
    </row>
    <row r="11294" spans="2:2" x14ac:dyDescent="0.25">
      <c r="B11294" s="1"/>
    </row>
    <row r="11295" spans="2:2" x14ac:dyDescent="0.25">
      <c r="B11295" s="1"/>
    </row>
    <row r="11296" spans="2:2" x14ac:dyDescent="0.25">
      <c r="B11296" s="1"/>
    </row>
    <row r="11297" spans="2:2" x14ac:dyDescent="0.25">
      <c r="B11297" s="1"/>
    </row>
    <row r="11298" spans="2:2" x14ac:dyDescent="0.25">
      <c r="B11298" s="1"/>
    </row>
    <row r="11299" spans="2:2" x14ac:dyDescent="0.25">
      <c r="B11299" s="1"/>
    </row>
    <row r="11300" spans="2:2" x14ac:dyDescent="0.25">
      <c r="B11300" s="1"/>
    </row>
    <row r="11301" spans="2:2" x14ac:dyDescent="0.25">
      <c r="B11301" s="1"/>
    </row>
    <row r="11302" spans="2:2" x14ac:dyDescent="0.25">
      <c r="B11302" s="1"/>
    </row>
    <row r="11303" spans="2:2" x14ac:dyDescent="0.25">
      <c r="B11303" s="1"/>
    </row>
    <row r="11304" spans="2:2" x14ac:dyDescent="0.25">
      <c r="B11304" s="1"/>
    </row>
    <row r="11305" spans="2:2" x14ac:dyDescent="0.25">
      <c r="B11305" s="1"/>
    </row>
    <row r="11306" spans="2:2" x14ac:dyDescent="0.25">
      <c r="B11306" s="1"/>
    </row>
    <row r="11307" spans="2:2" x14ac:dyDescent="0.25">
      <c r="B11307" s="1"/>
    </row>
    <row r="11308" spans="2:2" x14ac:dyDescent="0.25">
      <c r="B11308" s="1"/>
    </row>
    <row r="11309" spans="2:2" x14ac:dyDescent="0.25">
      <c r="B11309" s="1"/>
    </row>
    <row r="11310" spans="2:2" x14ac:dyDescent="0.25">
      <c r="B11310" s="1"/>
    </row>
    <row r="11311" spans="2:2" x14ac:dyDescent="0.25">
      <c r="B11311" s="1"/>
    </row>
    <row r="11312" spans="2:2" x14ac:dyDescent="0.25">
      <c r="B11312" s="1"/>
    </row>
    <row r="11313" spans="2:2" x14ac:dyDescent="0.25">
      <c r="B11313" s="1"/>
    </row>
    <row r="11314" spans="2:2" x14ac:dyDescent="0.25">
      <c r="B11314" s="1"/>
    </row>
    <row r="11315" spans="2:2" x14ac:dyDescent="0.25">
      <c r="B11315" s="1"/>
    </row>
    <row r="11316" spans="2:2" x14ac:dyDescent="0.25">
      <c r="B11316" s="1"/>
    </row>
    <row r="11317" spans="2:2" x14ac:dyDescent="0.25">
      <c r="B11317" s="1"/>
    </row>
    <row r="11318" spans="2:2" x14ac:dyDescent="0.25">
      <c r="B11318" s="1"/>
    </row>
    <row r="11319" spans="2:2" x14ac:dyDescent="0.25">
      <c r="B11319" s="1"/>
    </row>
    <row r="11320" spans="2:2" x14ac:dyDescent="0.25">
      <c r="B11320" s="1"/>
    </row>
    <row r="11321" spans="2:2" x14ac:dyDescent="0.25">
      <c r="B11321" s="1"/>
    </row>
    <row r="11322" spans="2:2" x14ac:dyDescent="0.25">
      <c r="B11322" s="1"/>
    </row>
    <row r="11323" spans="2:2" x14ac:dyDescent="0.25">
      <c r="B11323" s="1"/>
    </row>
    <row r="11324" spans="2:2" x14ac:dyDescent="0.25">
      <c r="B11324" s="1"/>
    </row>
    <row r="11325" spans="2:2" x14ac:dyDescent="0.25">
      <c r="B11325" s="1"/>
    </row>
    <row r="11326" spans="2:2" x14ac:dyDescent="0.25">
      <c r="B11326" s="1"/>
    </row>
    <row r="11327" spans="2:2" x14ac:dyDescent="0.25">
      <c r="B11327" s="1"/>
    </row>
    <row r="11328" spans="2:2" x14ac:dyDescent="0.25">
      <c r="B11328" s="1"/>
    </row>
    <row r="11329" spans="2:2" x14ac:dyDescent="0.25">
      <c r="B11329" s="1"/>
    </row>
    <row r="11330" spans="2:2" x14ac:dyDescent="0.25">
      <c r="B11330" s="1"/>
    </row>
    <row r="11331" spans="2:2" x14ac:dyDescent="0.25">
      <c r="B11331" s="1"/>
    </row>
    <row r="11332" spans="2:2" x14ac:dyDescent="0.25">
      <c r="B11332" s="1"/>
    </row>
    <row r="11333" spans="2:2" x14ac:dyDescent="0.25">
      <c r="B11333" s="1"/>
    </row>
    <row r="11334" spans="2:2" x14ac:dyDescent="0.25">
      <c r="B11334" s="1"/>
    </row>
    <row r="11335" spans="2:2" x14ac:dyDescent="0.25">
      <c r="B11335" s="1"/>
    </row>
    <row r="11336" spans="2:2" x14ac:dyDescent="0.25">
      <c r="B11336" s="1"/>
    </row>
    <row r="11337" spans="2:2" x14ac:dyDescent="0.25">
      <c r="B11337" s="1"/>
    </row>
    <row r="11338" spans="2:2" x14ac:dyDescent="0.25">
      <c r="B11338" s="1"/>
    </row>
    <row r="11339" spans="2:2" x14ac:dyDescent="0.25">
      <c r="B11339" s="1"/>
    </row>
    <row r="11340" spans="2:2" x14ac:dyDescent="0.25">
      <c r="B11340" s="1"/>
    </row>
    <row r="11341" spans="2:2" x14ac:dyDescent="0.25">
      <c r="B11341" s="1"/>
    </row>
    <row r="11342" spans="2:2" x14ac:dyDescent="0.25">
      <c r="B11342" s="1"/>
    </row>
    <row r="11343" spans="2:2" x14ac:dyDescent="0.25">
      <c r="B11343" s="1"/>
    </row>
    <row r="11344" spans="2:2" x14ac:dyDescent="0.25">
      <c r="B11344" s="1"/>
    </row>
    <row r="11345" spans="2:2" x14ac:dyDescent="0.25">
      <c r="B11345" s="1"/>
    </row>
    <row r="11346" spans="2:2" x14ac:dyDescent="0.25">
      <c r="B11346" s="1"/>
    </row>
    <row r="11347" spans="2:2" x14ac:dyDescent="0.25">
      <c r="B11347" s="1"/>
    </row>
    <row r="11348" spans="2:2" x14ac:dyDescent="0.25">
      <c r="B11348" s="1"/>
    </row>
    <row r="11349" spans="2:2" x14ac:dyDescent="0.25">
      <c r="B11349" s="1"/>
    </row>
    <row r="11350" spans="2:2" x14ac:dyDescent="0.25">
      <c r="B11350" s="1"/>
    </row>
    <row r="11351" spans="2:2" x14ac:dyDescent="0.25">
      <c r="B11351" s="1"/>
    </row>
    <row r="11352" spans="2:2" x14ac:dyDescent="0.25">
      <c r="B11352" s="1"/>
    </row>
    <row r="11353" spans="2:2" x14ac:dyDescent="0.25">
      <c r="B11353" s="1"/>
    </row>
    <row r="11354" spans="2:2" x14ac:dyDescent="0.25">
      <c r="B11354" s="1"/>
    </row>
    <row r="11355" spans="2:2" x14ac:dyDescent="0.25">
      <c r="B11355" s="1"/>
    </row>
    <row r="11356" spans="2:2" x14ac:dyDescent="0.25">
      <c r="B11356" s="1"/>
    </row>
    <row r="11357" spans="2:2" x14ac:dyDescent="0.25">
      <c r="B11357" s="1"/>
    </row>
    <row r="11358" spans="2:2" x14ac:dyDescent="0.25">
      <c r="B11358" s="1"/>
    </row>
    <row r="11359" spans="2:2" x14ac:dyDescent="0.25">
      <c r="B11359" s="1"/>
    </row>
    <row r="11360" spans="2:2" x14ac:dyDescent="0.25">
      <c r="B11360" s="1"/>
    </row>
    <row r="11361" spans="2:2" x14ac:dyDescent="0.25">
      <c r="B11361" s="1"/>
    </row>
    <row r="11362" spans="2:2" x14ac:dyDescent="0.25">
      <c r="B11362" s="1"/>
    </row>
    <row r="11363" spans="2:2" x14ac:dyDescent="0.25">
      <c r="B11363" s="1"/>
    </row>
    <row r="11364" spans="2:2" x14ac:dyDescent="0.25">
      <c r="B11364" s="1"/>
    </row>
    <row r="11365" spans="2:2" x14ac:dyDescent="0.25">
      <c r="B11365" s="1"/>
    </row>
    <row r="11366" spans="2:2" x14ac:dyDescent="0.25">
      <c r="B11366" s="1"/>
    </row>
    <row r="11367" spans="2:2" x14ac:dyDescent="0.25">
      <c r="B11367" s="1"/>
    </row>
    <row r="11368" spans="2:2" x14ac:dyDescent="0.25">
      <c r="B11368" s="1"/>
    </row>
    <row r="11369" spans="2:2" x14ac:dyDescent="0.25">
      <c r="B11369" s="1"/>
    </row>
    <row r="11370" spans="2:2" x14ac:dyDescent="0.25">
      <c r="B11370" s="1"/>
    </row>
    <row r="11371" spans="2:2" x14ac:dyDescent="0.25">
      <c r="B11371" s="1"/>
    </row>
    <row r="11372" spans="2:2" x14ac:dyDescent="0.25">
      <c r="B11372" s="1"/>
    </row>
    <row r="11373" spans="2:2" x14ac:dyDescent="0.25">
      <c r="B11373" s="1"/>
    </row>
    <row r="11374" spans="2:2" x14ac:dyDescent="0.25">
      <c r="B11374" s="1"/>
    </row>
    <row r="11375" spans="2:2" x14ac:dyDescent="0.25">
      <c r="B11375" s="1"/>
    </row>
    <row r="11376" spans="2:2" x14ac:dyDescent="0.25">
      <c r="B11376" s="1"/>
    </row>
    <row r="11377" spans="2:2" x14ac:dyDescent="0.25">
      <c r="B11377" s="1"/>
    </row>
    <row r="11378" spans="2:2" x14ac:dyDescent="0.25">
      <c r="B11378" s="1"/>
    </row>
    <row r="11379" spans="2:2" x14ac:dyDescent="0.25">
      <c r="B11379" s="1"/>
    </row>
    <row r="11380" spans="2:2" x14ac:dyDescent="0.25">
      <c r="B11380" s="1"/>
    </row>
    <row r="11381" spans="2:2" x14ac:dyDescent="0.25">
      <c r="B11381" s="1"/>
    </row>
    <row r="11382" spans="2:2" x14ac:dyDescent="0.25">
      <c r="B11382" s="1"/>
    </row>
    <row r="11383" spans="2:2" x14ac:dyDescent="0.25">
      <c r="B11383" s="1"/>
    </row>
    <row r="11384" spans="2:2" x14ac:dyDescent="0.25">
      <c r="B11384" s="1"/>
    </row>
    <row r="11385" spans="2:2" x14ac:dyDescent="0.25">
      <c r="B11385" s="1"/>
    </row>
    <row r="11386" spans="2:2" x14ac:dyDescent="0.25">
      <c r="B11386" s="1"/>
    </row>
    <row r="11387" spans="2:2" x14ac:dyDescent="0.25">
      <c r="B11387" s="1"/>
    </row>
    <row r="11388" spans="2:2" x14ac:dyDescent="0.25">
      <c r="B11388" s="1"/>
    </row>
    <row r="11389" spans="2:2" x14ac:dyDescent="0.25">
      <c r="B11389" s="1"/>
    </row>
    <row r="11390" spans="2:2" x14ac:dyDescent="0.25">
      <c r="B11390" s="1"/>
    </row>
    <row r="11391" spans="2:2" x14ac:dyDescent="0.25">
      <c r="B11391" s="1"/>
    </row>
    <row r="11392" spans="2:2" x14ac:dyDescent="0.25">
      <c r="B11392" s="1"/>
    </row>
    <row r="11393" spans="2:2" x14ac:dyDescent="0.25">
      <c r="B11393" s="1"/>
    </row>
    <row r="11394" spans="2:2" x14ac:dyDescent="0.25">
      <c r="B11394" s="1"/>
    </row>
    <row r="11395" spans="2:2" x14ac:dyDescent="0.25">
      <c r="B11395" s="1"/>
    </row>
    <row r="11396" spans="2:2" x14ac:dyDescent="0.25">
      <c r="B11396" s="1"/>
    </row>
    <row r="11397" spans="2:2" x14ac:dyDescent="0.25">
      <c r="B11397" s="1"/>
    </row>
    <row r="11398" spans="2:2" x14ac:dyDescent="0.25">
      <c r="B11398" s="1"/>
    </row>
    <row r="11399" spans="2:2" x14ac:dyDescent="0.25">
      <c r="B11399" s="1"/>
    </row>
    <row r="11400" spans="2:2" x14ac:dyDescent="0.25">
      <c r="B11400" s="1"/>
    </row>
    <row r="11401" spans="2:2" x14ac:dyDescent="0.25">
      <c r="B11401" s="1"/>
    </row>
    <row r="11402" spans="2:2" x14ac:dyDescent="0.25">
      <c r="B11402" s="1"/>
    </row>
    <row r="11403" spans="2:2" x14ac:dyDescent="0.25">
      <c r="B11403" s="1"/>
    </row>
    <row r="11404" spans="2:2" x14ac:dyDescent="0.25">
      <c r="B11404" s="1"/>
    </row>
    <row r="11405" spans="2:2" x14ac:dyDescent="0.25">
      <c r="B11405" s="1"/>
    </row>
    <row r="11406" spans="2:2" x14ac:dyDescent="0.25">
      <c r="B11406" s="1"/>
    </row>
    <row r="11407" spans="2:2" x14ac:dyDescent="0.25">
      <c r="B11407" s="1"/>
    </row>
    <row r="11408" spans="2:2" x14ac:dyDescent="0.25">
      <c r="B11408" s="1"/>
    </row>
    <row r="11409" spans="2:2" x14ac:dyDescent="0.25">
      <c r="B11409" s="1"/>
    </row>
    <row r="11410" spans="2:2" x14ac:dyDescent="0.25">
      <c r="B11410" s="1"/>
    </row>
    <row r="11411" spans="2:2" x14ac:dyDescent="0.25">
      <c r="B11411" s="1"/>
    </row>
    <row r="11412" spans="2:2" x14ac:dyDescent="0.25">
      <c r="B11412" s="1"/>
    </row>
    <row r="11413" spans="2:2" x14ac:dyDescent="0.25">
      <c r="B11413" s="1"/>
    </row>
    <row r="11414" spans="2:2" x14ac:dyDescent="0.25">
      <c r="B11414" s="1"/>
    </row>
    <row r="11415" spans="2:2" x14ac:dyDescent="0.25">
      <c r="B11415" s="1"/>
    </row>
    <row r="11416" spans="2:2" x14ac:dyDescent="0.25">
      <c r="B11416" s="1"/>
    </row>
    <row r="11417" spans="2:2" x14ac:dyDescent="0.25">
      <c r="B11417" s="1"/>
    </row>
    <row r="11418" spans="2:2" x14ac:dyDescent="0.25">
      <c r="B11418" s="1"/>
    </row>
    <row r="11419" spans="2:2" x14ac:dyDescent="0.25">
      <c r="B11419" s="1"/>
    </row>
    <row r="11420" spans="2:2" x14ac:dyDescent="0.25">
      <c r="B11420" s="1"/>
    </row>
    <row r="11421" spans="2:2" x14ac:dyDescent="0.25">
      <c r="B11421" s="1"/>
    </row>
    <row r="11422" spans="2:2" x14ac:dyDescent="0.25">
      <c r="B11422" s="1"/>
    </row>
    <row r="11423" spans="2:2" x14ac:dyDescent="0.25">
      <c r="B11423" s="1"/>
    </row>
    <row r="11424" spans="2:2" x14ac:dyDescent="0.25">
      <c r="B11424" s="1"/>
    </row>
    <row r="11425" spans="2:2" x14ac:dyDescent="0.25">
      <c r="B11425" s="1"/>
    </row>
    <row r="11426" spans="2:2" x14ac:dyDescent="0.25">
      <c r="B11426" s="1"/>
    </row>
    <row r="11427" spans="2:2" x14ac:dyDescent="0.25">
      <c r="B11427" s="1"/>
    </row>
    <row r="11428" spans="2:2" x14ac:dyDescent="0.25">
      <c r="B11428" s="1"/>
    </row>
    <row r="11429" spans="2:2" x14ac:dyDescent="0.25">
      <c r="B11429" s="1"/>
    </row>
    <row r="11430" spans="2:2" x14ac:dyDescent="0.25">
      <c r="B11430" s="1"/>
    </row>
    <row r="11431" spans="2:2" x14ac:dyDescent="0.25">
      <c r="B11431" s="1"/>
    </row>
    <row r="11432" spans="2:2" x14ac:dyDescent="0.25">
      <c r="B11432" s="1"/>
    </row>
    <row r="11433" spans="2:2" x14ac:dyDescent="0.25">
      <c r="B11433" s="1"/>
    </row>
    <row r="11434" spans="2:2" x14ac:dyDescent="0.25">
      <c r="B11434" s="1"/>
    </row>
    <row r="11435" spans="2:2" x14ac:dyDescent="0.25">
      <c r="B11435" s="1"/>
    </row>
    <row r="11436" spans="2:2" x14ac:dyDescent="0.25">
      <c r="B11436" s="1"/>
    </row>
    <row r="11437" spans="2:2" x14ac:dyDescent="0.25">
      <c r="B11437" s="1"/>
    </row>
    <row r="11438" spans="2:2" x14ac:dyDescent="0.25">
      <c r="B11438" s="1"/>
    </row>
    <row r="11439" spans="2:2" x14ac:dyDescent="0.25">
      <c r="B11439" s="1"/>
    </row>
    <row r="11440" spans="2:2" x14ac:dyDescent="0.25">
      <c r="B11440" s="1"/>
    </row>
    <row r="11441" spans="2:2" x14ac:dyDescent="0.25">
      <c r="B11441" s="1"/>
    </row>
    <row r="11442" spans="2:2" x14ac:dyDescent="0.25">
      <c r="B11442" s="1"/>
    </row>
    <row r="11443" spans="2:2" x14ac:dyDescent="0.25">
      <c r="B11443" s="1"/>
    </row>
    <row r="11444" spans="2:2" x14ac:dyDescent="0.25">
      <c r="B11444" s="1"/>
    </row>
    <row r="11445" spans="2:2" x14ac:dyDescent="0.25">
      <c r="B11445" s="1"/>
    </row>
    <row r="11446" spans="2:2" x14ac:dyDescent="0.25">
      <c r="B11446" s="1"/>
    </row>
    <row r="11447" spans="2:2" x14ac:dyDescent="0.25">
      <c r="B11447" s="1"/>
    </row>
    <row r="11448" spans="2:2" x14ac:dyDescent="0.25">
      <c r="B11448" s="1"/>
    </row>
    <row r="11449" spans="2:2" x14ac:dyDescent="0.25">
      <c r="B11449" s="1"/>
    </row>
    <row r="11450" spans="2:2" x14ac:dyDescent="0.25">
      <c r="B11450" s="1"/>
    </row>
    <row r="11451" spans="2:2" x14ac:dyDescent="0.25">
      <c r="B11451" s="1"/>
    </row>
    <row r="11452" spans="2:2" x14ac:dyDescent="0.25">
      <c r="B11452" s="1"/>
    </row>
    <row r="11453" spans="2:2" x14ac:dyDescent="0.25">
      <c r="B11453" s="1"/>
    </row>
    <row r="11454" spans="2:2" x14ac:dyDescent="0.25">
      <c r="B11454" s="1"/>
    </row>
    <row r="11455" spans="2:2" x14ac:dyDescent="0.25">
      <c r="B11455" s="1"/>
    </row>
    <row r="11456" spans="2:2" x14ac:dyDescent="0.25">
      <c r="B11456" s="1"/>
    </row>
    <row r="11457" spans="2:2" x14ac:dyDescent="0.25">
      <c r="B11457" s="1"/>
    </row>
    <row r="11458" spans="2:2" x14ac:dyDescent="0.25">
      <c r="B11458" s="1"/>
    </row>
    <row r="11459" spans="2:2" x14ac:dyDescent="0.25">
      <c r="B11459" s="1"/>
    </row>
    <row r="11460" spans="2:2" x14ac:dyDescent="0.25">
      <c r="B11460" s="1"/>
    </row>
    <row r="11461" spans="2:2" x14ac:dyDescent="0.25">
      <c r="B11461" s="1"/>
    </row>
    <row r="11462" spans="2:2" x14ac:dyDescent="0.25">
      <c r="B11462" s="1"/>
    </row>
    <row r="11463" spans="2:2" x14ac:dyDescent="0.25">
      <c r="B11463" s="1"/>
    </row>
    <row r="11464" spans="2:2" x14ac:dyDescent="0.25">
      <c r="B11464" s="1"/>
    </row>
    <row r="11465" spans="2:2" x14ac:dyDescent="0.25">
      <c r="B11465" s="1"/>
    </row>
    <row r="11466" spans="2:2" x14ac:dyDescent="0.25">
      <c r="B11466" s="1"/>
    </row>
    <row r="11467" spans="2:2" x14ac:dyDescent="0.25">
      <c r="B11467" s="1"/>
    </row>
    <row r="11468" spans="2:2" x14ac:dyDescent="0.25">
      <c r="B11468" s="1"/>
    </row>
    <row r="11469" spans="2:2" x14ac:dyDescent="0.25">
      <c r="B11469" s="1"/>
    </row>
    <row r="11470" spans="2:2" x14ac:dyDescent="0.25">
      <c r="B11470" s="1"/>
    </row>
    <row r="11471" spans="2:2" x14ac:dyDescent="0.25">
      <c r="B11471" s="1"/>
    </row>
    <row r="11472" spans="2:2" x14ac:dyDescent="0.25">
      <c r="B11472" s="1"/>
    </row>
    <row r="11473" spans="2:2" x14ac:dyDescent="0.25">
      <c r="B11473" s="1"/>
    </row>
    <row r="11474" spans="2:2" x14ac:dyDescent="0.25">
      <c r="B11474" s="1"/>
    </row>
    <row r="11475" spans="2:2" x14ac:dyDescent="0.25">
      <c r="B11475" s="1"/>
    </row>
    <row r="11476" spans="2:2" x14ac:dyDescent="0.25">
      <c r="B11476" s="1"/>
    </row>
    <row r="11477" spans="2:2" x14ac:dyDescent="0.25">
      <c r="B11477" s="1"/>
    </row>
    <row r="11478" spans="2:2" x14ac:dyDescent="0.25">
      <c r="B11478" s="1"/>
    </row>
    <row r="11479" spans="2:2" x14ac:dyDescent="0.25">
      <c r="B11479" s="1"/>
    </row>
    <row r="11480" spans="2:2" x14ac:dyDescent="0.25">
      <c r="B11480" s="1"/>
    </row>
    <row r="11481" spans="2:2" x14ac:dyDescent="0.25">
      <c r="B11481" s="1"/>
    </row>
    <row r="11482" spans="2:2" x14ac:dyDescent="0.25">
      <c r="B11482" s="1"/>
    </row>
    <row r="11483" spans="2:2" x14ac:dyDescent="0.25">
      <c r="B11483" s="1"/>
    </row>
    <row r="11484" spans="2:2" x14ac:dyDescent="0.25">
      <c r="B11484" s="1"/>
    </row>
    <row r="11485" spans="2:2" x14ac:dyDescent="0.25">
      <c r="B11485" s="1"/>
    </row>
    <row r="11486" spans="2:2" x14ac:dyDescent="0.25">
      <c r="B11486" s="1"/>
    </row>
    <row r="11487" spans="2:2" x14ac:dyDescent="0.25">
      <c r="B11487" s="1"/>
    </row>
    <row r="11488" spans="2:2" x14ac:dyDescent="0.25">
      <c r="B11488" s="1"/>
    </row>
    <row r="11489" spans="2:2" x14ac:dyDescent="0.25">
      <c r="B11489" s="1"/>
    </row>
    <row r="11490" spans="2:2" x14ac:dyDescent="0.25">
      <c r="B11490" s="1"/>
    </row>
    <row r="11491" spans="2:2" x14ac:dyDescent="0.25">
      <c r="B11491" s="1"/>
    </row>
    <row r="11492" spans="2:2" x14ac:dyDescent="0.25">
      <c r="B11492" s="1"/>
    </row>
    <row r="11493" spans="2:2" x14ac:dyDescent="0.25">
      <c r="B11493" s="1"/>
    </row>
    <row r="11494" spans="2:2" x14ac:dyDescent="0.25">
      <c r="B11494" s="1"/>
    </row>
    <row r="11495" spans="2:2" x14ac:dyDescent="0.25">
      <c r="B11495" s="1"/>
    </row>
    <row r="11496" spans="2:2" x14ac:dyDescent="0.25">
      <c r="B11496" s="1"/>
    </row>
    <row r="11497" spans="2:2" x14ac:dyDescent="0.25">
      <c r="B11497" s="1"/>
    </row>
    <row r="11498" spans="2:2" x14ac:dyDescent="0.25">
      <c r="B11498" s="1"/>
    </row>
    <row r="11499" spans="2:2" x14ac:dyDescent="0.25">
      <c r="B11499" s="1"/>
    </row>
    <row r="11500" spans="2:2" x14ac:dyDescent="0.25">
      <c r="B11500" s="1"/>
    </row>
    <row r="11501" spans="2:2" x14ac:dyDescent="0.25">
      <c r="B11501" s="1"/>
    </row>
    <row r="11502" spans="2:2" x14ac:dyDescent="0.25">
      <c r="B11502" s="1"/>
    </row>
    <row r="11503" spans="2:2" x14ac:dyDescent="0.25">
      <c r="B11503" s="1"/>
    </row>
    <row r="11504" spans="2:2" x14ac:dyDescent="0.25">
      <c r="B11504" s="1"/>
    </row>
    <row r="11505" spans="2:2" x14ac:dyDescent="0.25">
      <c r="B11505" s="1"/>
    </row>
    <row r="11506" spans="2:2" x14ac:dyDescent="0.25">
      <c r="B11506" s="1"/>
    </row>
    <row r="11507" spans="2:2" x14ac:dyDescent="0.25">
      <c r="B11507" s="1"/>
    </row>
    <row r="11508" spans="2:2" x14ac:dyDescent="0.25">
      <c r="B11508" s="1"/>
    </row>
    <row r="11509" spans="2:2" x14ac:dyDescent="0.25">
      <c r="B11509" s="1"/>
    </row>
    <row r="11510" spans="2:2" x14ac:dyDescent="0.25">
      <c r="B11510" s="1"/>
    </row>
    <row r="11511" spans="2:2" x14ac:dyDescent="0.25">
      <c r="B11511" s="1"/>
    </row>
    <row r="11512" spans="2:2" x14ac:dyDescent="0.25">
      <c r="B11512" s="1"/>
    </row>
    <row r="11513" spans="2:2" x14ac:dyDescent="0.25">
      <c r="B11513" s="1"/>
    </row>
    <row r="11514" spans="2:2" x14ac:dyDescent="0.25">
      <c r="B11514" s="1"/>
    </row>
    <row r="11515" spans="2:2" x14ac:dyDescent="0.25">
      <c r="B11515" s="1"/>
    </row>
    <row r="11516" spans="2:2" x14ac:dyDescent="0.25">
      <c r="B11516" s="1"/>
    </row>
    <row r="11517" spans="2:2" x14ac:dyDescent="0.25">
      <c r="B11517" s="1"/>
    </row>
    <row r="11518" spans="2:2" x14ac:dyDescent="0.25">
      <c r="B11518" s="1"/>
    </row>
    <row r="11519" spans="2:2" x14ac:dyDescent="0.25">
      <c r="B11519" s="1"/>
    </row>
    <row r="11520" spans="2:2" x14ac:dyDescent="0.25">
      <c r="B11520" s="1"/>
    </row>
    <row r="11521" spans="2:2" x14ac:dyDescent="0.25">
      <c r="B11521" s="1"/>
    </row>
    <row r="11522" spans="2:2" x14ac:dyDescent="0.25">
      <c r="B11522" s="1"/>
    </row>
    <row r="11523" spans="2:2" x14ac:dyDescent="0.25">
      <c r="B11523" s="1"/>
    </row>
    <row r="11524" spans="2:2" x14ac:dyDescent="0.25">
      <c r="B11524" s="1"/>
    </row>
    <row r="11525" spans="2:2" x14ac:dyDescent="0.25">
      <c r="B11525" s="1"/>
    </row>
    <row r="11526" spans="2:2" x14ac:dyDescent="0.25">
      <c r="B11526" s="1"/>
    </row>
    <row r="11527" spans="2:2" x14ac:dyDescent="0.25">
      <c r="B11527" s="1"/>
    </row>
    <row r="11528" spans="2:2" x14ac:dyDescent="0.25">
      <c r="B11528" s="1"/>
    </row>
    <row r="11529" spans="2:2" x14ac:dyDescent="0.25">
      <c r="B11529" s="1"/>
    </row>
    <row r="11530" spans="2:2" x14ac:dyDescent="0.25">
      <c r="B11530" s="1"/>
    </row>
    <row r="11531" spans="2:2" x14ac:dyDescent="0.25">
      <c r="B11531" s="1"/>
    </row>
    <row r="11532" spans="2:2" x14ac:dyDescent="0.25">
      <c r="B11532" s="1"/>
    </row>
    <row r="11533" spans="2:2" x14ac:dyDescent="0.25">
      <c r="B11533" s="1"/>
    </row>
    <row r="11534" spans="2:2" x14ac:dyDescent="0.25">
      <c r="B11534" s="1"/>
    </row>
    <row r="11535" spans="2:2" x14ac:dyDescent="0.25">
      <c r="B11535" s="1"/>
    </row>
    <row r="11536" spans="2:2" x14ac:dyDescent="0.25">
      <c r="B11536" s="1"/>
    </row>
    <row r="11537" spans="2:2" x14ac:dyDescent="0.25">
      <c r="B11537" s="1"/>
    </row>
    <row r="11538" spans="2:2" x14ac:dyDescent="0.25">
      <c r="B11538" s="1"/>
    </row>
    <row r="11539" spans="2:2" x14ac:dyDescent="0.25">
      <c r="B11539" s="1"/>
    </row>
    <row r="11540" spans="2:2" x14ac:dyDescent="0.25">
      <c r="B11540" s="1"/>
    </row>
    <row r="11541" spans="2:2" x14ac:dyDescent="0.25">
      <c r="B11541" s="1"/>
    </row>
    <row r="11542" spans="2:2" x14ac:dyDescent="0.25">
      <c r="B11542" s="1"/>
    </row>
    <row r="11543" spans="2:2" x14ac:dyDescent="0.25">
      <c r="B11543" s="1"/>
    </row>
    <row r="11544" spans="2:2" x14ac:dyDescent="0.25">
      <c r="B11544" s="1"/>
    </row>
    <row r="11545" spans="2:2" x14ac:dyDescent="0.25">
      <c r="B11545" s="1"/>
    </row>
    <row r="11546" spans="2:2" x14ac:dyDescent="0.25">
      <c r="B11546" s="1"/>
    </row>
    <row r="11547" spans="2:2" x14ac:dyDescent="0.25">
      <c r="B11547" s="1"/>
    </row>
    <row r="11548" spans="2:2" x14ac:dyDescent="0.25">
      <c r="B11548" s="1"/>
    </row>
    <row r="11549" spans="2:2" x14ac:dyDescent="0.25">
      <c r="B11549" s="1"/>
    </row>
    <row r="11550" spans="2:2" x14ac:dyDescent="0.25">
      <c r="B11550" s="1"/>
    </row>
    <row r="11551" spans="2:2" x14ac:dyDescent="0.25">
      <c r="B11551" s="1"/>
    </row>
    <row r="11552" spans="2:2" x14ac:dyDescent="0.25">
      <c r="B11552" s="1"/>
    </row>
    <row r="11553" spans="2:2" x14ac:dyDescent="0.25">
      <c r="B11553" s="1"/>
    </row>
    <row r="11554" spans="2:2" x14ac:dyDescent="0.25">
      <c r="B11554" s="1"/>
    </row>
    <row r="11555" spans="2:2" x14ac:dyDescent="0.25">
      <c r="B11555" s="1"/>
    </row>
    <row r="11556" spans="2:2" x14ac:dyDescent="0.25">
      <c r="B11556" s="1"/>
    </row>
    <row r="11557" spans="2:2" x14ac:dyDescent="0.25">
      <c r="B11557" s="1"/>
    </row>
    <row r="11558" spans="2:2" x14ac:dyDescent="0.25">
      <c r="B11558" s="1"/>
    </row>
    <row r="11559" spans="2:2" x14ac:dyDescent="0.25">
      <c r="B11559" s="1"/>
    </row>
    <row r="11560" spans="2:2" x14ac:dyDescent="0.25">
      <c r="B11560" s="1"/>
    </row>
    <row r="11561" spans="2:2" x14ac:dyDescent="0.25">
      <c r="B11561" s="1"/>
    </row>
    <row r="11562" spans="2:2" x14ac:dyDescent="0.25">
      <c r="B11562" s="1"/>
    </row>
    <row r="11563" spans="2:2" x14ac:dyDescent="0.25">
      <c r="B11563" s="1"/>
    </row>
    <row r="11564" spans="2:2" x14ac:dyDescent="0.25">
      <c r="B11564" s="1"/>
    </row>
    <row r="11565" spans="2:2" x14ac:dyDescent="0.25">
      <c r="B11565" s="1"/>
    </row>
    <row r="11566" spans="2:2" x14ac:dyDescent="0.25">
      <c r="B11566" s="1"/>
    </row>
    <row r="11567" spans="2:2" x14ac:dyDescent="0.25">
      <c r="B11567" s="1"/>
    </row>
    <row r="11568" spans="2:2" x14ac:dyDescent="0.25">
      <c r="B11568" s="1"/>
    </row>
    <row r="11569" spans="2:2" x14ac:dyDescent="0.25">
      <c r="B11569" s="1"/>
    </row>
    <row r="11570" spans="2:2" x14ac:dyDescent="0.25">
      <c r="B11570" s="1"/>
    </row>
    <row r="11571" spans="2:2" x14ac:dyDescent="0.25">
      <c r="B11571" s="1"/>
    </row>
    <row r="11572" spans="2:2" x14ac:dyDescent="0.25">
      <c r="B11572" s="1"/>
    </row>
    <row r="11573" spans="2:2" x14ac:dyDescent="0.25">
      <c r="B11573" s="1"/>
    </row>
    <row r="11574" spans="2:2" x14ac:dyDescent="0.25">
      <c r="B11574" s="1"/>
    </row>
    <row r="11575" spans="2:2" x14ac:dyDescent="0.25">
      <c r="B11575" s="1"/>
    </row>
    <row r="11576" spans="2:2" x14ac:dyDescent="0.25">
      <c r="B11576" s="1"/>
    </row>
    <row r="11577" spans="2:2" x14ac:dyDescent="0.25">
      <c r="B11577" s="1"/>
    </row>
    <row r="11578" spans="2:2" x14ac:dyDescent="0.25">
      <c r="B11578" s="1"/>
    </row>
    <row r="11579" spans="2:2" x14ac:dyDescent="0.25">
      <c r="B11579" s="1"/>
    </row>
    <row r="11580" spans="2:2" x14ac:dyDescent="0.25">
      <c r="B11580" s="1"/>
    </row>
    <row r="11581" spans="2:2" x14ac:dyDescent="0.25">
      <c r="B11581" s="1"/>
    </row>
    <row r="11582" spans="2:2" x14ac:dyDescent="0.25">
      <c r="B11582" s="1"/>
    </row>
    <row r="11583" spans="2:2" x14ac:dyDescent="0.25">
      <c r="B11583" s="1"/>
    </row>
    <row r="11584" spans="2:2" x14ac:dyDescent="0.25">
      <c r="B11584" s="1"/>
    </row>
    <row r="11585" spans="2:2" x14ac:dyDescent="0.25">
      <c r="B11585" s="1"/>
    </row>
    <row r="11586" spans="2:2" x14ac:dyDescent="0.25">
      <c r="B11586" s="1"/>
    </row>
    <row r="11587" spans="2:2" x14ac:dyDescent="0.25">
      <c r="B11587" s="1"/>
    </row>
    <row r="11588" spans="2:2" x14ac:dyDescent="0.25">
      <c r="B11588" s="1"/>
    </row>
    <row r="11589" spans="2:2" x14ac:dyDescent="0.25">
      <c r="B11589" s="1"/>
    </row>
    <row r="11590" spans="2:2" x14ac:dyDescent="0.25">
      <c r="B11590" s="1"/>
    </row>
    <row r="11591" spans="2:2" x14ac:dyDescent="0.25">
      <c r="B11591" s="1"/>
    </row>
    <row r="11592" spans="2:2" x14ac:dyDescent="0.25">
      <c r="B11592" s="1"/>
    </row>
    <row r="11593" spans="2:2" x14ac:dyDescent="0.25">
      <c r="B11593" s="1"/>
    </row>
    <row r="11594" spans="2:2" x14ac:dyDescent="0.25">
      <c r="B11594" s="1"/>
    </row>
    <row r="11595" spans="2:2" x14ac:dyDescent="0.25">
      <c r="B11595" s="1"/>
    </row>
    <row r="11596" spans="2:2" x14ac:dyDescent="0.25">
      <c r="B11596" s="1"/>
    </row>
    <row r="11597" spans="2:2" x14ac:dyDescent="0.25">
      <c r="B11597" s="1"/>
    </row>
    <row r="11598" spans="2:2" x14ac:dyDescent="0.25">
      <c r="B11598" s="1"/>
    </row>
    <row r="11599" spans="2:2" x14ac:dyDescent="0.25">
      <c r="B11599" s="1"/>
    </row>
    <row r="11600" spans="2:2" x14ac:dyDescent="0.25">
      <c r="B11600" s="1"/>
    </row>
    <row r="11601" spans="2:2" x14ac:dyDescent="0.25">
      <c r="B11601" s="1"/>
    </row>
    <row r="11602" spans="2:2" x14ac:dyDescent="0.25">
      <c r="B11602" s="1"/>
    </row>
    <row r="11603" spans="2:2" x14ac:dyDescent="0.25">
      <c r="B11603" s="1"/>
    </row>
    <row r="11604" spans="2:2" x14ac:dyDescent="0.25">
      <c r="B11604" s="1"/>
    </row>
    <row r="11605" spans="2:2" x14ac:dyDescent="0.25">
      <c r="B11605" s="1"/>
    </row>
    <row r="11606" spans="2:2" x14ac:dyDescent="0.25">
      <c r="B11606" s="1"/>
    </row>
    <row r="11607" spans="2:2" x14ac:dyDescent="0.25">
      <c r="B11607" s="1"/>
    </row>
    <row r="11608" spans="2:2" x14ac:dyDescent="0.25">
      <c r="B11608" s="1"/>
    </row>
    <row r="11609" spans="2:2" x14ac:dyDescent="0.25">
      <c r="B11609" s="1"/>
    </row>
    <row r="11610" spans="2:2" x14ac:dyDescent="0.25">
      <c r="B11610" s="1"/>
    </row>
    <row r="11611" spans="2:2" x14ac:dyDescent="0.25">
      <c r="B11611" s="1"/>
    </row>
    <row r="11612" spans="2:2" x14ac:dyDescent="0.25">
      <c r="B11612" s="1"/>
    </row>
    <row r="11613" spans="2:2" x14ac:dyDescent="0.25">
      <c r="B11613" s="1"/>
    </row>
    <row r="11614" spans="2:2" x14ac:dyDescent="0.25">
      <c r="B11614" s="1"/>
    </row>
    <row r="11615" spans="2:2" x14ac:dyDescent="0.25">
      <c r="B11615" s="1"/>
    </row>
    <row r="11616" spans="2:2" x14ac:dyDescent="0.25">
      <c r="B11616" s="1"/>
    </row>
    <row r="11617" spans="2:2" x14ac:dyDescent="0.25">
      <c r="B11617" s="1"/>
    </row>
    <row r="11618" spans="2:2" x14ac:dyDescent="0.25">
      <c r="B11618" s="1"/>
    </row>
    <row r="11619" spans="2:2" x14ac:dyDescent="0.25">
      <c r="B11619" s="1"/>
    </row>
    <row r="11620" spans="2:2" x14ac:dyDescent="0.25">
      <c r="B11620" s="1"/>
    </row>
    <row r="11621" spans="2:2" x14ac:dyDescent="0.25">
      <c r="B11621" s="1"/>
    </row>
    <row r="11622" spans="2:2" x14ac:dyDescent="0.25">
      <c r="B11622" s="1"/>
    </row>
    <row r="11623" spans="2:2" x14ac:dyDescent="0.25">
      <c r="B11623" s="1"/>
    </row>
    <row r="11624" spans="2:2" x14ac:dyDescent="0.25">
      <c r="B11624" s="1"/>
    </row>
    <row r="11625" spans="2:2" x14ac:dyDescent="0.25">
      <c r="B11625" s="1"/>
    </row>
    <row r="11626" spans="2:2" x14ac:dyDescent="0.25">
      <c r="B11626" s="1"/>
    </row>
    <row r="11627" spans="2:2" x14ac:dyDescent="0.25">
      <c r="B11627" s="1"/>
    </row>
    <row r="11628" spans="2:2" x14ac:dyDescent="0.25">
      <c r="B11628" s="1"/>
    </row>
    <row r="11629" spans="2:2" x14ac:dyDescent="0.25">
      <c r="B11629" s="1"/>
    </row>
    <row r="11630" spans="2:2" x14ac:dyDescent="0.25">
      <c r="B11630" s="1"/>
    </row>
    <row r="11631" spans="2:2" x14ac:dyDescent="0.25">
      <c r="B11631" s="1"/>
    </row>
    <row r="11632" spans="2:2" x14ac:dyDescent="0.25">
      <c r="B11632" s="1"/>
    </row>
    <row r="11633" spans="2:2" x14ac:dyDescent="0.25">
      <c r="B11633" s="1"/>
    </row>
    <row r="11634" spans="2:2" x14ac:dyDescent="0.25">
      <c r="B11634" s="1"/>
    </row>
    <row r="11635" spans="2:2" x14ac:dyDescent="0.25">
      <c r="B11635" s="1"/>
    </row>
    <row r="11636" spans="2:2" x14ac:dyDescent="0.25">
      <c r="B11636" s="1"/>
    </row>
    <row r="11637" spans="2:2" x14ac:dyDescent="0.25">
      <c r="B11637" s="1"/>
    </row>
    <row r="11638" spans="2:2" x14ac:dyDescent="0.25">
      <c r="B11638" s="1"/>
    </row>
    <row r="11639" spans="2:2" x14ac:dyDescent="0.25">
      <c r="B11639" s="1"/>
    </row>
    <row r="11640" spans="2:2" x14ac:dyDescent="0.25">
      <c r="B11640" s="1"/>
    </row>
    <row r="11641" spans="2:2" x14ac:dyDescent="0.25">
      <c r="B11641" s="1"/>
    </row>
    <row r="11642" spans="2:2" x14ac:dyDescent="0.25">
      <c r="B11642" s="1"/>
    </row>
    <row r="11643" spans="2:2" x14ac:dyDescent="0.25">
      <c r="B11643" s="1"/>
    </row>
    <row r="11644" spans="2:2" x14ac:dyDescent="0.25">
      <c r="B11644" s="1"/>
    </row>
    <row r="11645" spans="2:2" x14ac:dyDescent="0.25">
      <c r="B11645" s="1"/>
    </row>
    <row r="11646" spans="2:2" x14ac:dyDescent="0.25">
      <c r="B11646" s="1"/>
    </row>
    <row r="11647" spans="2:2" x14ac:dyDescent="0.25">
      <c r="B11647" s="1"/>
    </row>
    <row r="11648" spans="2:2" x14ac:dyDescent="0.25">
      <c r="B11648" s="1"/>
    </row>
    <row r="11649" spans="2:2" x14ac:dyDescent="0.25">
      <c r="B11649" s="1"/>
    </row>
    <row r="11650" spans="2:2" x14ac:dyDescent="0.25">
      <c r="B11650" s="1"/>
    </row>
    <row r="11651" spans="2:2" x14ac:dyDescent="0.25">
      <c r="B11651" s="1"/>
    </row>
    <row r="11652" spans="2:2" x14ac:dyDescent="0.25">
      <c r="B11652" s="1"/>
    </row>
    <row r="11653" spans="2:2" x14ac:dyDescent="0.25">
      <c r="B11653" s="1"/>
    </row>
    <row r="11654" spans="2:2" x14ac:dyDescent="0.25">
      <c r="B11654" s="1"/>
    </row>
    <row r="11655" spans="2:2" x14ac:dyDescent="0.25">
      <c r="B11655" s="1"/>
    </row>
    <row r="11656" spans="2:2" x14ac:dyDescent="0.25">
      <c r="B11656" s="1"/>
    </row>
    <row r="11657" spans="2:2" x14ac:dyDescent="0.25">
      <c r="B11657" s="1"/>
    </row>
    <row r="11658" spans="2:2" x14ac:dyDescent="0.25">
      <c r="B11658" s="1"/>
    </row>
    <row r="11659" spans="2:2" x14ac:dyDescent="0.25">
      <c r="B11659" s="1"/>
    </row>
    <row r="11660" spans="2:2" x14ac:dyDescent="0.25">
      <c r="B11660" s="1"/>
    </row>
    <row r="11661" spans="2:2" x14ac:dyDescent="0.25">
      <c r="B11661" s="1"/>
    </row>
    <row r="11662" spans="2:2" x14ac:dyDescent="0.25">
      <c r="B11662" s="1"/>
    </row>
    <row r="11663" spans="2:2" x14ac:dyDescent="0.25">
      <c r="B11663" s="1"/>
    </row>
    <row r="11664" spans="2:2" x14ac:dyDescent="0.25">
      <c r="B11664" s="1"/>
    </row>
    <row r="11665" spans="2:2" x14ac:dyDescent="0.25">
      <c r="B11665" s="1"/>
    </row>
    <row r="11666" spans="2:2" x14ac:dyDescent="0.25">
      <c r="B11666" s="1"/>
    </row>
    <row r="11667" spans="2:2" x14ac:dyDescent="0.25">
      <c r="B11667" s="1"/>
    </row>
    <row r="11668" spans="2:2" x14ac:dyDescent="0.25">
      <c r="B11668" s="1"/>
    </row>
    <row r="11669" spans="2:2" x14ac:dyDescent="0.25">
      <c r="B11669" s="1"/>
    </row>
    <row r="11670" spans="2:2" x14ac:dyDescent="0.25">
      <c r="B11670" s="1"/>
    </row>
    <row r="11671" spans="2:2" x14ac:dyDescent="0.25">
      <c r="B11671" s="1"/>
    </row>
    <row r="11672" spans="2:2" x14ac:dyDescent="0.25">
      <c r="B11672" s="1"/>
    </row>
    <row r="11673" spans="2:2" x14ac:dyDescent="0.25">
      <c r="B11673" s="1"/>
    </row>
    <row r="11674" spans="2:2" x14ac:dyDescent="0.25">
      <c r="B11674" s="1"/>
    </row>
    <row r="11675" spans="2:2" x14ac:dyDescent="0.25">
      <c r="B11675" s="1"/>
    </row>
    <row r="11676" spans="2:2" x14ac:dyDescent="0.25">
      <c r="B11676" s="1"/>
    </row>
    <row r="11677" spans="2:2" x14ac:dyDescent="0.25">
      <c r="B11677" s="1"/>
    </row>
    <row r="11678" spans="2:2" x14ac:dyDescent="0.25">
      <c r="B11678" s="1"/>
    </row>
    <row r="11679" spans="2:2" x14ac:dyDescent="0.25">
      <c r="B11679" s="1"/>
    </row>
    <row r="11680" spans="2:2" x14ac:dyDescent="0.25">
      <c r="B11680" s="1"/>
    </row>
    <row r="11681" spans="2:2" x14ac:dyDescent="0.25">
      <c r="B11681" s="1"/>
    </row>
    <row r="11682" spans="2:2" x14ac:dyDescent="0.25">
      <c r="B11682" s="1"/>
    </row>
    <row r="11683" spans="2:2" x14ac:dyDescent="0.25">
      <c r="B11683" s="1"/>
    </row>
    <row r="11684" spans="2:2" x14ac:dyDescent="0.25">
      <c r="B11684" s="1"/>
    </row>
    <row r="11685" spans="2:2" x14ac:dyDescent="0.25">
      <c r="B11685" s="1"/>
    </row>
    <row r="11686" spans="2:2" x14ac:dyDescent="0.25">
      <c r="B11686" s="1"/>
    </row>
    <row r="11687" spans="2:2" x14ac:dyDescent="0.25">
      <c r="B11687" s="1"/>
    </row>
    <row r="11688" spans="2:2" x14ac:dyDescent="0.25">
      <c r="B11688" s="1"/>
    </row>
    <row r="11689" spans="2:2" x14ac:dyDescent="0.25">
      <c r="B11689" s="1"/>
    </row>
    <row r="11690" spans="2:2" x14ac:dyDescent="0.25">
      <c r="B11690" s="1"/>
    </row>
    <row r="11691" spans="2:2" x14ac:dyDescent="0.25">
      <c r="B11691" s="1"/>
    </row>
    <row r="11692" spans="2:2" x14ac:dyDescent="0.25">
      <c r="B11692" s="1"/>
    </row>
    <row r="11693" spans="2:2" x14ac:dyDescent="0.25">
      <c r="B11693" s="1"/>
    </row>
    <row r="11694" spans="2:2" x14ac:dyDescent="0.25">
      <c r="B11694" s="1"/>
    </row>
    <row r="11695" spans="2:2" x14ac:dyDescent="0.25">
      <c r="B11695" s="1"/>
    </row>
    <row r="11696" spans="2:2" x14ac:dyDescent="0.25">
      <c r="B11696" s="1"/>
    </row>
    <row r="11697" spans="2:2" x14ac:dyDescent="0.25">
      <c r="B11697" s="1"/>
    </row>
    <row r="11698" spans="2:2" x14ac:dyDescent="0.25">
      <c r="B11698" s="1"/>
    </row>
    <row r="11699" spans="2:2" x14ac:dyDescent="0.25">
      <c r="B11699" s="1"/>
    </row>
    <row r="11700" spans="2:2" x14ac:dyDescent="0.25">
      <c r="B11700" s="1"/>
    </row>
    <row r="11701" spans="2:2" x14ac:dyDescent="0.25">
      <c r="B11701" s="1"/>
    </row>
    <row r="11702" spans="2:2" x14ac:dyDescent="0.25">
      <c r="B11702" s="1"/>
    </row>
    <row r="11703" spans="2:2" x14ac:dyDescent="0.25">
      <c r="B11703" s="1"/>
    </row>
    <row r="11704" spans="2:2" x14ac:dyDescent="0.25">
      <c r="B11704" s="1"/>
    </row>
    <row r="11705" spans="2:2" x14ac:dyDescent="0.25">
      <c r="B11705" s="1"/>
    </row>
    <row r="11706" spans="2:2" x14ac:dyDescent="0.25">
      <c r="B11706" s="1"/>
    </row>
    <row r="11707" spans="2:2" x14ac:dyDescent="0.25">
      <c r="B11707" s="1"/>
    </row>
    <row r="11708" spans="2:2" x14ac:dyDescent="0.25">
      <c r="B11708" s="1"/>
    </row>
    <row r="11709" spans="2:2" x14ac:dyDescent="0.25">
      <c r="B11709" s="1"/>
    </row>
    <row r="11710" spans="2:2" x14ac:dyDescent="0.25">
      <c r="B11710" s="1"/>
    </row>
    <row r="11711" spans="2:2" x14ac:dyDescent="0.25">
      <c r="B11711" s="1"/>
    </row>
    <row r="11712" spans="2:2" x14ac:dyDescent="0.25">
      <c r="B11712" s="1"/>
    </row>
    <row r="11713" spans="2:2" x14ac:dyDescent="0.25">
      <c r="B11713" s="1"/>
    </row>
    <row r="11714" spans="2:2" x14ac:dyDescent="0.25">
      <c r="B11714" s="1"/>
    </row>
    <row r="11715" spans="2:2" x14ac:dyDescent="0.25">
      <c r="B11715" s="1"/>
    </row>
    <row r="11716" spans="2:2" x14ac:dyDescent="0.25">
      <c r="B11716" s="1"/>
    </row>
    <row r="11717" spans="2:2" x14ac:dyDescent="0.25">
      <c r="B11717" s="1"/>
    </row>
    <row r="11718" spans="2:2" x14ac:dyDescent="0.25">
      <c r="B11718" s="1"/>
    </row>
    <row r="11719" spans="2:2" x14ac:dyDescent="0.25">
      <c r="B11719" s="1"/>
    </row>
    <row r="11720" spans="2:2" x14ac:dyDescent="0.25">
      <c r="B11720" s="1"/>
    </row>
    <row r="11721" spans="2:2" x14ac:dyDescent="0.25">
      <c r="B11721" s="1"/>
    </row>
    <row r="11722" spans="2:2" x14ac:dyDescent="0.25">
      <c r="B11722" s="1"/>
    </row>
    <row r="11723" spans="2:2" x14ac:dyDescent="0.25">
      <c r="B11723" s="1"/>
    </row>
    <row r="11724" spans="2:2" x14ac:dyDescent="0.25">
      <c r="B11724" s="1"/>
    </row>
    <row r="11725" spans="2:2" x14ac:dyDescent="0.25">
      <c r="B11725" s="1"/>
    </row>
    <row r="11726" spans="2:2" x14ac:dyDescent="0.25">
      <c r="B11726" s="1"/>
    </row>
    <row r="11727" spans="2:2" x14ac:dyDescent="0.25">
      <c r="B11727" s="1"/>
    </row>
    <row r="11728" spans="2:2" x14ac:dyDescent="0.25">
      <c r="B11728" s="1"/>
    </row>
    <row r="11729" spans="2:2" x14ac:dyDescent="0.25">
      <c r="B11729" s="1"/>
    </row>
    <row r="11730" spans="2:2" x14ac:dyDescent="0.25">
      <c r="B11730" s="1"/>
    </row>
    <row r="11731" spans="2:2" x14ac:dyDescent="0.25">
      <c r="B11731" s="1"/>
    </row>
    <row r="11732" spans="2:2" x14ac:dyDescent="0.25">
      <c r="B11732" s="1"/>
    </row>
    <row r="11733" spans="2:2" x14ac:dyDescent="0.25">
      <c r="B11733" s="1"/>
    </row>
    <row r="11734" spans="2:2" x14ac:dyDescent="0.25">
      <c r="B11734" s="1"/>
    </row>
    <row r="11735" spans="2:2" x14ac:dyDescent="0.25">
      <c r="B11735" s="1"/>
    </row>
    <row r="11736" spans="2:2" x14ac:dyDescent="0.25">
      <c r="B11736" s="1"/>
    </row>
    <row r="11737" spans="2:2" x14ac:dyDescent="0.25">
      <c r="B11737" s="1"/>
    </row>
    <row r="11738" spans="2:2" x14ac:dyDescent="0.25">
      <c r="B11738" s="1"/>
    </row>
    <row r="11739" spans="2:2" x14ac:dyDescent="0.25">
      <c r="B11739" s="1"/>
    </row>
    <row r="11740" spans="2:2" x14ac:dyDescent="0.25">
      <c r="B11740" s="1"/>
    </row>
    <row r="11741" spans="2:2" x14ac:dyDescent="0.25">
      <c r="B11741" s="1"/>
    </row>
    <row r="11742" spans="2:2" x14ac:dyDescent="0.25">
      <c r="B11742" s="1"/>
    </row>
    <row r="11743" spans="2:2" x14ac:dyDescent="0.25">
      <c r="B11743" s="1"/>
    </row>
    <row r="11744" spans="2:2" x14ac:dyDescent="0.25">
      <c r="B11744" s="1"/>
    </row>
    <row r="11745" spans="2:2" x14ac:dyDescent="0.25">
      <c r="B11745" s="1"/>
    </row>
    <row r="11746" spans="2:2" x14ac:dyDescent="0.25">
      <c r="B11746" s="1"/>
    </row>
    <row r="11747" spans="2:2" x14ac:dyDescent="0.25">
      <c r="B11747" s="1"/>
    </row>
    <row r="11748" spans="2:2" x14ac:dyDescent="0.25">
      <c r="B11748" s="1"/>
    </row>
    <row r="11749" spans="2:2" x14ac:dyDescent="0.25">
      <c r="B11749" s="1"/>
    </row>
    <row r="11750" spans="2:2" x14ac:dyDescent="0.25">
      <c r="B11750" s="1"/>
    </row>
    <row r="11751" spans="2:2" x14ac:dyDescent="0.25">
      <c r="B11751" s="1"/>
    </row>
    <row r="11752" spans="2:2" x14ac:dyDescent="0.25">
      <c r="B11752" s="1"/>
    </row>
    <row r="11753" spans="2:2" x14ac:dyDescent="0.25">
      <c r="B11753" s="1"/>
    </row>
    <row r="11754" spans="2:2" x14ac:dyDescent="0.25">
      <c r="B11754" s="1"/>
    </row>
    <row r="11755" spans="2:2" x14ac:dyDescent="0.25">
      <c r="B11755" s="1"/>
    </row>
    <row r="11756" spans="2:2" x14ac:dyDescent="0.25">
      <c r="B11756" s="1"/>
    </row>
    <row r="11757" spans="2:2" x14ac:dyDescent="0.25">
      <c r="B11757" s="1"/>
    </row>
    <row r="11758" spans="2:2" x14ac:dyDescent="0.25">
      <c r="B11758" s="1"/>
    </row>
    <row r="11759" spans="2:2" x14ac:dyDescent="0.25">
      <c r="B11759" s="1"/>
    </row>
    <row r="11760" spans="2:2" x14ac:dyDescent="0.25">
      <c r="B11760" s="1"/>
    </row>
    <row r="11761" spans="2:2" x14ac:dyDescent="0.25">
      <c r="B11761" s="1"/>
    </row>
    <row r="11762" spans="2:2" x14ac:dyDescent="0.25">
      <c r="B11762" s="1"/>
    </row>
    <row r="11763" spans="2:2" x14ac:dyDescent="0.25">
      <c r="B11763" s="1"/>
    </row>
    <row r="11764" spans="2:2" x14ac:dyDescent="0.25">
      <c r="B11764" s="1"/>
    </row>
    <row r="11765" spans="2:2" x14ac:dyDescent="0.25">
      <c r="B11765" s="1"/>
    </row>
    <row r="11766" spans="2:2" x14ac:dyDescent="0.25">
      <c r="B11766" s="1"/>
    </row>
    <row r="11767" spans="2:2" x14ac:dyDescent="0.25">
      <c r="B11767" s="1"/>
    </row>
    <row r="11768" spans="2:2" x14ac:dyDescent="0.25">
      <c r="B11768" s="1"/>
    </row>
    <row r="11769" spans="2:2" x14ac:dyDescent="0.25">
      <c r="B11769" s="1"/>
    </row>
    <row r="11770" spans="2:2" x14ac:dyDescent="0.25">
      <c r="B11770" s="1"/>
    </row>
    <row r="11771" spans="2:2" x14ac:dyDescent="0.25">
      <c r="B11771" s="1"/>
    </row>
    <row r="11772" spans="2:2" x14ac:dyDescent="0.25">
      <c r="B11772" s="1"/>
    </row>
    <row r="11773" spans="2:2" x14ac:dyDescent="0.25">
      <c r="B11773" s="1"/>
    </row>
    <row r="11774" spans="2:2" x14ac:dyDescent="0.25">
      <c r="B11774" s="1"/>
    </row>
    <row r="11775" spans="2:2" x14ac:dyDescent="0.25">
      <c r="B11775" s="1"/>
    </row>
    <row r="11776" spans="2:2" x14ac:dyDescent="0.25">
      <c r="B11776" s="1"/>
    </row>
    <row r="11777" spans="2:2" x14ac:dyDescent="0.25">
      <c r="B11777" s="1"/>
    </row>
    <row r="11778" spans="2:2" x14ac:dyDescent="0.25">
      <c r="B11778" s="1"/>
    </row>
    <row r="11779" spans="2:2" x14ac:dyDescent="0.25">
      <c r="B11779" s="1"/>
    </row>
    <row r="11780" spans="2:2" x14ac:dyDescent="0.25">
      <c r="B11780" s="1"/>
    </row>
    <row r="11781" spans="2:2" x14ac:dyDescent="0.25">
      <c r="B11781" s="1"/>
    </row>
    <row r="11782" spans="2:2" x14ac:dyDescent="0.25">
      <c r="B11782" s="1"/>
    </row>
    <row r="11783" spans="2:2" x14ac:dyDescent="0.25">
      <c r="B11783" s="1"/>
    </row>
    <row r="11784" spans="2:2" x14ac:dyDescent="0.25">
      <c r="B11784" s="1"/>
    </row>
    <row r="11785" spans="2:2" x14ac:dyDescent="0.25">
      <c r="B11785" s="1"/>
    </row>
    <row r="11786" spans="2:2" x14ac:dyDescent="0.25">
      <c r="B11786" s="1"/>
    </row>
    <row r="11787" spans="2:2" x14ac:dyDescent="0.25">
      <c r="B11787" s="1"/>
    </row>
    <row r="11788" spans="2:2" x14ac:dyDescent="0.25">
      <c r="B11788" s="1"/>
    </row>
    <row r="11789" spans="2:2" x14ac:dyDescent="0.25">
      <c r="B11789" s="1"/>
    </row>
    <row r="11790" spans="2:2" x14ac:dyDescent="0.25">
      <c r="B11790" s="1"/>
    </row>
    <row r="11791" spans="2:2" x14ac:dyDescent="0.25">
      <c r="B11791" s="1"/>
    </row>
    <row r="11792" spans="2:2" x14ac:dyDescent="0.25">
      <c r="B11792" s="1"/>
    </row>
    <row r="11793" spans="2:2" x14ac:dyDescent="0.25">
      <c r="B11793" s="1"/>
    </row>
    <row r="11794" spans="2:2" x14ac:dyDescent="0.25">
      <c r="B11794" s="1"/>
    </row>
    <row r="11795" spans="2:2" x14ac:dyDescent="0.25">
      <c r="B11795" s="1"/>
    </row>
    <row r="11796" spans="2:2" x14ac:dyDescent="0.25">
      <c r="B11796" s="1"/>
    </row>
    <row r="11797" spans="2:2" x14ac:dyDescent="0.25">
      <c r="B11797" s="1"/>
    </row>
    <row r="11798" spans="2:2" x14ac:dyDescent="0.25">
      <c r="B11798" s="1"/>
    </row>
    <row r="11799" spans="2:2" x14ac:dyDescent="0.25">
      <c r="B11799" s="1"/>
    </row>
    <row r="11800" spans="2:2" x14ac:dyDescent="0.25">
      <c r="B11800" s="1"/>
    </row>
    <row r="11801" spans="2:2" x14ac:dyDescent="0.25">
      <c r="B11801" s="1"/>
    </row>
    <row r="11802" spans="2:2" x14ac:dyDescent="0.25">
      <c r="B11802" s="1"/>
    </row>
    <row r="11803" spans="2:2" x14ac:dyDescent="0.25">
      <c r="B11803" s="1"/>
    </row>
    <row r="11804" spans="2:2" x14ac:dyDescent="0.25">
      <c r="B11804" s="1"/>
    </row>
    <row r="11805" spans="2:2" x14ac:dyDescent="0.25">
      <c r="B11805" s="1"/>
    </row>
    <row r="11806" spans="2:2" x14ac:dyDescent="0.25">
      <c r="B11806" s="1"/>
    </row>
    <row r="11807" spans="2:2" x14ac:dyDescent="0.25">
      <c r="B11807" s="1"/>
    </row>
    <row r="11808" spans="2:2" x14ac:dyDescent="0.25">
      <c r="B11808" s="1"/>
    </row>
    <row r="11809" spans="2:2" x14ac:dyDescent="0.25">
      <c r="B11809" s="1"/>
    </row>
    <row r="11810" spans="2:2" x14ac:dyDescent="0.25">
      <c r="B11810" s="1"/>
    </row>
    <row r="11811" spans="2:2" x14ac:dyDescent="0.25">
      <c r="B11811" s="1"/>
    </row>
    <row r="11812" spans="2:2" x14ac:dyDescent="0.25">
      <c r="B11812" s="1"/>
    </row>
    <row r="11813" spans="2:2" x14ac:dyDescent="0.25">
      <c r="B11813" s="1"/>
    </row>
    <row r="11814" spans="2:2" x14ac:dyDescent="0.25">
      <c r="B11814" s="1"/>
    </row>
    <row r="11815" spans="2:2" x14ac:dyDescent="0.25">
      <c r="B11815" s="1"/>
    </row>
    <row r="11816" spans="2:2" x14ac:dyDescent="0.25">
      <c r="B11816" s="1"/>
    </row>
    <row r="11817" spans="2:2" x14ac:dyDescent="0.25">
      <c r="B11817" s="1"/>
    </row>
    <row r="11818" spans="2:2" x14ac:dyDescent="0.25">
      <c r="B11818" s="1"/>
    </row>
    <row r="11819" spans="2:2" x14ac:dyDescent="0.25">
      <c r="B11819" s="1"/>
    </row>
    <row r="11820" spans="2:2" x14ac:dyDescent="0.25">
      <c r="B11820" s="1"/>
    </row>
    <row r="11821" spans="2:2" x14ac:dyDescent="0.25">
      <c r="B11821" s="1"/>
    </row>
    <row r="11822" spans="2:2" x14ac:dyDescent="0.25">
      <c r="B11822" s="1"/>
    </row>
    <row r="11823" spans="2:2" x14ac:dyDescent="0.25">
      <c r="B11823" s="1"/>
    </row>
    <row r="11824" spans="2:2" x14ac:dyDescent="0.25">
      <c r="B11824" s="1"/>
    </row>
    <row r="11825" spans="2:2" x14ac:dyDescent="0.25">
      <c r="B11825" s="1"/>
    </row>
    <row r="11826" spans="2:2" x14ac:dyDescent="0.25">
      <c r="B11826" s="1"/>
    </row>
    <row r="11827" spans="2:2" x14ac:dyDescent="0.25">
      <c r="B11827" s="1"/>
    </row>
    <row r="11828" spans="2:2" x14ac:dyDescent="0.25">
      <c r="B11828" s="1"/>
    </row>
    <row r="11829" spans="2:2" x14ac:dyDescent="0.25">
      <c r="B11829" s="1"/>
    </row>
    <row r="11830" spans="2:2" x14ac:dyDescent="0.25">
      <c r="B11830" s="1"/>
    </row>
    <row r="11831" spans="2:2" x14ac:dyDescent="0.25">
      <c r="B11831" s="1"/>
    </row>
    <row r="11832" spans="2:2" x14ac:dyDescent="0.25">
      <c r="B11832" s="1"/>
    </row>
    <row r="11833" spans="2:2" x14ac:dyDescent="0.25">
      <c r="B11833" s="1"/>
    </row>
    <row r="11834" spans="2:2" x14ac:dyDescent="0.25">
      <c r="B11834" s="1"/>
    </row>
    <row r="11835" spans="2:2" x14ac:dyDescent="0.25">
      <c r="B11835" s="1"/>
    </row>
    <row r="11836" spans="2:2" x14ac:dyDescent="0.25">
      <c r="B11836" s="1"/>
    </row>
    <row r="11837" spans="2:2" x14ac:dyDescent="0.25">
      <c r="B11837" s="1"/>
    </row>
    <row r="11838" spans="2:2" x14ac:dyDescent="0.25">
      <c r="B11838" s="1"/>
    </row>
    <row r="11839" spans="2:2" x14ac:dyDescent="0.25">
      <c r="B11839" s="1"/>
    </row>
    <row r="11840" spans="2:2" x14ac:dyDescent="0.25">
      <c r="B11840" s="1"/>
    </row>
    <row r="11841" spans="2:2" x14ac:dyDescent="0.25">
      <c r="B11841" s="1"/>
    </row>
    <row r="11842" spans="2:2" x14ac:dyDescent="0.25">
      <c r="B11842" s="1"/>
    </row>
    <row r="11843" spans="2:2" x14ac:dyDescent="0.25">
      <c r="B11843" s="1"/>
    </row>
    <row r="11844" spans="2:2" x14ac:dyDescent="0.25">
      <c r="B11844" s="1"/>
    </row>
    <row r="11845" spans="2:2" x14ac:dyDescent="0.25">
      <c r="B11845" s="1"/>
    </row>
    <row r="11846" spans="2:2" x14ac:dyDescent="0.25">
      <c r="B11846" s="1"/>
    </row>
    <row r="11847" spans="2:2" x14ac:dyDescent="0.25">
      <c r="B11847" s="1"/>
    </row>
    <row r="11848" spans="2:2" x14ac:dyDescent="0.25">
      <c r="B11848" s="1"/>
    </row>
    <row r="11849" spans="2:2" x14ac:dyDescent="0.25">
      <c r="B11849" s="1"/>
    </row>
    <row r="11850" spans="2:2" x14ac:dyDescent="0.25">
      <c r="B11850" s="1"/>
    </row>
    <row r="11851" spans="2:2" x14ac:dyDescent="0.25">
      <c r="B11851" s="1"/>
    </row>
    <row r="11852" spans="2:2" x14ac:dyDescent="0.25">
      <c r="B11852" s="1"/>
    </row>
    <row r="11853" spans="2:2" x14ac:dyDescent="0.25">
      <c r="B11853" s="1"/>
    </row>
    <row r="11854" spans="2:2" x14ac:dyDescent="0.25">
      <c r="B11854" s="1"/>
    </row>
    <row r="11855" spans="2:2" x14ac:dyDescent="0.25">
      <c r="B11855" s="1"/>
    </row>
    <row r="11856" spans="2:2" x14ac:dyDescent="0.25">
      <c r="B11856" s="1"/>
    </row>
    <row r="11857" spans="2:2" x14ac:dyDescent="0.25">
      <c r="B11857" s="1"/>
    </row>
    <row r="11858" spans="2:2" x14ac:dyDescent="0.25">
      <c r="B11858" s="1"/>
    </row>
    <row r="11859" spans="2:2" x14ac:dyDescent="0.25">
      <c r="B11859" s="1"/>
    </row>
    <row r="11860" spans="2:2" x14ac:dyDescent="0.25">
      <c r="B11860" s="1"/>
    </row>
    <row r="11861" spans="2:2" x14ac:dyDescent="0.25">
      <c r="B11861" s="1"/>
    </row>
    <row r="11862" spans="2:2" x14ac:dyDescent="0.25">
      <c r="B11862" s="1"/>
    </row>
    <row r="11863" spans="2:2" x14ac:dyDescent="0.25">
      <c r="B11863" s="1"/>
    </row>
    <row r="11864" spans="2:2" x14ac:dyDescent="0.25">
      <c r="B11864" s="1"/>
    </row>
    <row r="11865" spans="2:2" x14ac:dyDescent="0.25">
      <c r="B11865" s="1"/>
    </row>
    <row r="11866" spans="2:2" x14ac:dyDescent="0.25">
      <c r="B11866" s="1"/>
    </row>
    <row r="11867" spans="2:2" x14ac:dyDescent="0.25">
      <c r="B11867" s="1"/>
    </row>
    <row r="11868" spans="2:2" x14ac:dyDescent="0.25">
      <c r="B11868" s="1"/>
    </row>
    <row r="11869" spans="2:2" x14ac:dyDescent="0.25">
      <c r="B11869" s="1"/>
    </row>
    <row r="11870" spans="2:2" x14ac:dyDescent="0.25">
      <c r="B11870" s="1"/>
    </row>
    <row r="11871" spans="2:2" x14ac:dyDescent="0.25">
      <c r="B11871" s="1"/>
    </row>
    <row r="11872" spans="2:2" x14ac:dyDescent="0.25">
      <c r="B11872" s="1"/>
    </row>
    <row r="11873" spans="2:2" x14ac:dyDescent="0.25">
      <c r="B11873" s="1"/>
    </row>
    <row r="11874" spans="2:2" x14ac:dyDescent="0.25">
      <c r="B11874" s="1"/>
    </row>
    <row r="11875" spans="2:2" x14ac:dyDescent="0.25">
      <c r="B11875" s="1"/>
    </row>
    <row r="11876" spans="2:2" x14ac:dyDescent="0.25">
      <c r="B11876" s="1"/>
    </row>
    <row r="11877" spans="2:2" x14ac:dyDescent="0.25">
      <c r="B11877" s="1"/>
    </row>
    <row r="11878" spans="2:2" x14ac:dyDescent="0.25">
      <c r="B11878" s="1"/>
    </row>
    <row r="11879" spans="2:2" x14ac:dyDescent="0.25">
      <c r="B11879" s="1"/>
    </row>
    <row r="11880" spans="2:2" x14ac:dyDescent="0.25">
      <c r="B11880" s="1"/>
    </row>
    <row r="11881" spans="2:2" x14ac:dyDescent="0.25">
      <c r="B11881" s="1"/>
    </row>
    <row r="11882" spans="2:2" x14ac:dyDescent="0.25">
      <c r="B11882" s="1"/>
    </row>
    <row r="11883" spans="2:2" x14ac:dyDescent="0.25">
      <c r="B11883" s="1"/>
    </row>
    <row r="11884" spans="2:2" x14ac:dyDescent="0.25">
      <c r="B11884" s="1"/>
    </row>
    <row r="11885" spans="2:2" x14ac:dyDescent="0.25">
      <c r="B11885" s="1"/>
    </row>
    <row r="11886" spans="2:2" x14ac:dyDescent="0.25">
      <c r="B11886" s="1"/>
    </row>
    <row r="11887" spans="2:2" x14ac:dyDescent="0.25">
      <c r="B11887" s="1"/>
    </row>
    <row r="11888" spans="2:2" x14ac:dyDescent="0.25">
      <c r="B11888" s="1"/>
    </row>
    <row r="11889" spans="2:2" x14ac:dyDescent="0.25">
      <c r="B11889" s="1"/>
    </row>
    <row r="11890" spans="2:2" x14ac:dyDescent="0.25">
      <c r="B11890" s="1"/>
    </row>
    <row r="11891" spans="2:2" x14ac:dyDescent="0.25">
      <c r="B11891" s="1"/>
    </row>
    <row r="11892" spans="2:2" x14ac:dyDescent="0.25">
      <c r="B11892" s="1"/>
    </row>
    <row r="11893" spans="2:2" x14ac:dyDescent="0.25">
      <c r="B11893" s="1"/>
    </row>
    <row r="11894" spans="2:2" x14ac:dyDescent="0.25">
      <c r="B11894" s="1"/>
    </row>
    <row r="11895" spans="2:2" x14ac:dyDescent="0.25">
      <c r="B11895" s="1"/>
    </row>
    <row r="11896" spans="2:2" x14ac:dyDescent="0.25">
      <c r="B11896" s="1"/>
    </row>
    <row r="11897" spans="2:2" x14ac:dyDescent="0.25">
      <c r="B11897" s="1"/>
    </row>
    <row r="11898" spans="2:2" x14ac:dyDescent="0.25">
      <c r="B11898" s="1"/>
    </row>
    <row r="11899" spans="2:2" x14ac:dyDescent="0.25">
      <c r="B11899" s="1"/>
    </row>
    <row r="11900" spans="2:2" x14ac:dyDescent="0.25">
      <c r="B11900" s="1"/>
    </row>
    <row r="11901" spans="2:2" x14ac:dyDescent="0.25">
      <c r="B11901" s="1"/>
    </row>
    <row r="11902" spans="2:2" x14ac:dyDescent="0.25">
      <c r="B11902" s="1"/>
    </row>
    <row r="11903" spans="2:2" x14ac:dyDescent="0.25">
      <c r="B11903" s="1"/>
    </row>
    <row r="11904" spans="2:2" x14ac:dyDescent="0.25">
      <c r="B11904" s="1"/>
    </row>
    <row r="11905" spans="2:2" x14ac:dyDescent="0.25">
      <c r="B11905" s="1"/>
    </row>
    <row r="11906" spans="2:2" x14ac:dyDescent="0.25">
      <c r="B11906" s="1"/>
    </row>
    <row r="11907" spans="2:2" x14ac:dyDescent="0.25">
      <c r="B11907" s="1"/>
    </row>
    <row r="11908" spans="2:2" x14ac:dyDescent="0.25">
      <c r="B11908" s="1"/>
    </row>
    <row r="11909" spans="2:2" x14ac:dyDescent="0.25">
      <c r="B11909" s="1"/>
    </row>
    <row r="11910" spans="2:2" x14ac:dyDescent="0.25">
      <c r="B11910" s="1"/>
    </row>
    <row r="11911" spans="2:2" x14ac:dyDescent="0.25">
      <c r="B11911" s="1"/>
    </row>
    <row r="11912" spans="2:2" x14ac:dyDescent="0.25">
      <c r="B11912" s="1"/>
    </row>
    <row r="11913" spans="2:2" x14ac:dyDescent="0.25">
      <c r="B11913" s="1"/>
    </row>
    <row r="11914" spans="2:2" x14ac:dyDescent="0.25">
      <c r="B11914" s="1"/>
    </row>
    <row r="11915" spans="2:2" x14ac:dyDescent="0.25">
      <c r="B11915" s="1"/>
    </row>
    <row r="11916" spans="2:2" x14ac:dyDescent="0.25">
      <c r="B11916" s="1"/>
    </row>
    <row r="11917" spans="2:2" x14ac:dyDescent="0.25">
      <c r="B11917" s="1"/>
    </row>
    <row r="11918" spans="2:2" x14ac:dyDescent="0.25">
      <c r="B11918" s="1"/>
    </row>
    <row r="11919" spans="2:2" x14ac:dyDescent="0.25">
      <c r="B11919" s="1"/>
    </row>
    <row r="11920" spans="2:2" x14ac:dyDescent="0.25">
      <c r="B11920" s="1"/>
    </row>
    <row r="11921" spans="2:2" x14ac:dyDescent="0.25">
      <c r="B11921" s="1"/>
    </row>
    <row r="11922" spans="2:2" x14ac:dyDescent="0.25">
      <c r="B11922" s="1"/>
    </row>
    <row r="11923" spans="2:2" x14ac:dyDescent="0.25">
      <c r="B11923" s="1"/>
    </row>
    <row r="11924" spans="2:2" x14ac:dyDescent="0.25">
      <c r="B11924" s="1"/>
    </row>
    <row r="11925" spans="2:2" x14ac:dyDescent="0.25">
      <c r="B11925" s="1"/>
    </row>
    <row r="11926" spans="2:2" x14ac:dyDescent="0.25">
      <c r="B11926" s="1"/>
    </row>
    <row r="11927" spans="2:2" x14ac:dyDescent="0.25">
      <c r="B11927" s="1"/>
    </row>
    <row r="11928" spans="2:2" x14ac:dyDescent="0.25">
      <c r="B11928" s="1"/>
    </row>
    <row r="11929" spans="2:2" x14ac:dyDescent="0.25">
      <c r="B11929" s="1"/>
    </row>
    <row r="11930" spans="2:2" x14ac:dyDescent="0.25">
      <c r="B11930" s="1"/>
    </row>
    <row r="11931" spans="2:2" x14ac:dyDescent="0.25">
      <c r="B11931" s="1"/>
    </row>
    <row r="11932" spans="2:2" x14ac:dyDescent="0.25">
      <c r="B11932" s="1"/>
    </row>
    <row r="11933" spans="2:2" x14ac:dyDescent="0.25">
      <c r="B11933" s="1"/>
    </row>
    <row r="11934" spans="2:2" x14ac:dyDescent="0.25">
      <c r="B11934" s="1"/>
    </row>
    <row r="11935" spans="2:2" x14ac:dyDescent="0.25">
      <c r="B11935" s="1"/>
    </row>
    <row r="11936" spans="2:2" x14ac:dyDescent="0.25">
      <c r="B11936" s="1"/>
    </row>
    <row r="11937" spans="2:2" x14ac:dyDescent="0.25">
      <c r="B11937" s="1"/>
    </row>
    <row r="11938" spans="2:2" x14ac:dyDescent="0.25">
      <c r="B11938" s="1"/>
    </row>
    <row r="11939" spans="2:2" x14ac:dyDescent="0.25">
      <c r="B11939" s="1"/>
    </row>
    <row r="11940" spans="2:2" x14ac:dyDescent="0.25">
      <c r="B11940" s="1"/>
    </row>
    <row r="11941" spans="2:2" x14ac:dyDescent="0.25">
      <c r="B11941" s="1"/>
    </row>
    <row r="11942" spans="2:2" x14ac:dyDescent="0.25">
      <c r="B11942" s="1"/>
    </row>
    <row r="11943" spans="2:2" x14ac:dyDescent="0.25">
      <c r="B11943" s="1"/>
    </row>
    <row r="11944" spans="2:2" x14ac:dyDescent="0.25">
      <c r="B11944" s="1"/>
    </row>
    <row r="11945" spans="2:2" x14ac:dyDescent="0.25">
      <c r="B11945" s="1"/>
    </row>
    <row r="11946" spans="2:2" x14ac:dyDescent="0.25">
      <c r="B11946" s="1"/>
    </row>
    <row r="11947" spans="2:2" x14ac:dyDescent="0.25">
      <c r="B11947" s="1"/>
    </row>
    <row r="11948" spans="2:2" x14ac:dyDescent="0.25">
      <c r="B11948" s="1"/>
    </row>
    <row r="11949" spans="2:2" x14ac:dyDescent="0.25">
      <c r="B11949" s="1"/>
    </row>
    <row r="11950" spans="2:2" x14ac:dyDescent="0.25">
      <c r="B11950" s="1"/>
    </row>
    <row r="11951" spans="2:2" x14ac:dyDescent="0.25">
      <c r="B11951" s="1"/>
    </row>
    <row r="11952" spans="2:2" x14ac:dyDescent="0.25">
      <c r="B11952" s="1"/>
    </row>
    <row r="11953" spans="2:2" x14ac:dyDescent="0.25">
      <c r="B11953" s="1"/>
    </row>
    <row r="11954" spans="2:2" x14ac:dyDescent="0.25">
      <c r="B11954" s="1"/>
    </row>
    <row r="11955" spans="2:2" x14ac:dyDescent="0.25">
      <c r="B11955" s="1"/>
    </row>
    <row r="11956" spans="2:2" x14ac:dyDescent="0.25">
      <c r="B11956" s="1"/>
    </row>
    <row r="11957" spans="2:2" x14ac:dyDescent="0.25">
      <c r="B11957" s="1"/>
    </row>
    <row r="11958" spans="2:2" x14ac:dyDescent="0.25">
      <c r="B11958" s="1"/>
    </row>
    <row r="11959" spans="2:2" x14ac:dyDescent="0.25">
      <c r="B11959" s="1"/>
    </row>
    <row r="11960" spans="2:2" x14ac:dyDescent="0.25">
      <c r="B11960" s="1"/>
    </row>
    <row r="11961" spans="2:2" x14ac:dyDescent="0.25">
      <c r="B11961" s="1"/>
    </row>
    <row r="11962" spans="2:2" x14ac:dyDescent="0.25">
      <c r="B11962" s="1"/>
    </row>
    <row r="11963" spans="2:2" x14ac:dyDescent="0.25">
      <c r="B11963" s="1"/>
    </row>
    <row r="11964" spans="2:2" x14ac:dyDescent="0.25">
      <c r="B11964" s="1"/>
    </row>
    <row r="11965" spans="2:2" x14ac:dyDescent="0.25">
      <c r="B11965" s="1"/>
    </row>
    <row r="11966" spans="2:2" x14ac:dyDescent="0.25">
      <c r="B11966" s="1"/>
    </row>
    <row r="11967" spans="2:2" x14ac:dyDescent="0.25">
      <c r="B11967" s="1"/>
    </row>
    <row r="11968" spans="2:2" x14ac:dyDescent="0.25">
      <c r="B11968" s="1"/>
    </row>
    <row r="11969" spans="2:2" x14ac:dyDescent="0.25">
      <c r="B11969" s="1"/>
    </row>
    <row r="11970" spans="2:2" x14ac:dyDescent="0.25">
      <c r="B11970" s="1"/>
    </row>
    <row r="11971" spans="2:2" x14ac:dyDescent="0.25">
      <c r="B11971" s="1"/>
    </row>
    <row r="11972" spans="2:2" x14ac:dyDescent="0.25">
      <c r="B11972" s="1"/>
    </row>
    <row r="11973" spans="2:2" x14ac:dyDescent="0.25">
      <c r="B11973" s="1"/>
    </row>
    <row r="11974" spans="2:2" x14ac:dyDescent="0.25">
      <c r="B11974" s="1"/>
    </row>
    <row r="11975" spans="2:2" x14ac:dyDescent="0.25">
      <c r="B11975" s="1"/>
    </row>
    <row r="11976" spans="2:2" x14ac:dyDescent="0.25">
      <c r="B11976" s="1"/>
    </row>
    <row r="11977" spans="2:2" x14ac:dyDescent="0.25">
      <c r="B11977" s="1"/>
    </row>
    <row r="11978" spans="2:2" x14ac:dyDescent="0.25">
      <c r="B11978" s="1"/>
    </row>
    <row r="11979" spans="2:2" x14ac:dyDescent="0.25">
      <c r="B11979" s="1"/>
    </row>
    <row r="11980" spans="2:2" x14ac:dyDescent="0.25">
      <c r="B11980" s="1"/>
    </row>
    <row r="11981" spans="2:2" x14ac:dyDescent="0.25">
      <c r="B11981" s="1"/>
    </row>
    <row r="11982" spans="2:2" x14ac:dyDescent="0.25">
      <c r="B11982" s="1"/>
    </row>
    <row r="11983" spans="2:2" x14ac:dyDescent="0.25">
      <c r="B11983" s="1"/>
    </row>
    <row r="11984" spans="2:2" x14ac:dyDescent="0.25">
      <c r="B11984" s="1"/>
    </row>
    <row r="11985" spans="2:2" x14ac:dyDescent="0.25">
      <c r="B11985" s="1"/>
    </row>
    <row r="11986" spans="2:2" x14ac:dyDescent="0.25">
      <c r="B11986" s="1"/>
    </row>
    <row r="11987" spans="2:2" x14ac:dyDescent="0.25">
      <c r="B11987" s="1"/>
    </row>
    <row r="11988" spans="2:2" x14ac:dyDescent="0.25">
      <c r="B11988" s="1"/>
    </row>
    <row r="11989" spans="2:2" x14ac:dyDescent="0.25">
      <c r="B11989" s="1"/>
    </row>
    <row r="11990" spans="2:2" x14ac:dyDescent="0.25">
      <c r="B11990" s="1"/>
    </row>
    <row r="11991" spans="2:2" x14ac:dyDescent="0.25">
      <c r="B11991" s="1"/>
    </row>
    <row r="11992" spans="2:2" x14ac:dyDescent="0.25">
      <c r="B11992" s="1"/>
    </row>
    <row r="11993" spans="2:2" x14ac:dyDescent="0.25">
      <c r="B11993" s="1"/>
    </row>
    <row r="11994" spans="2:2" x14ac:dyDescent="0.25">
      <c r="B11994" s="1"/>
    </row>
    <row r="11995" spans="2:2" x14ac:dyDescent="0.25">
      <c r="B11995" s="1"/>
    </row>
    <row r="11996" spans="2:2" x14ac:dyDescent="0.25">
      <c r="B11996" s="1"/>
    </row>
    <row r="11997" spans="2:2" x14ac:dyDescent="0.25">
      <c r="B11997" s="1"/>
    </row>
    <row r="11998" spans="2:2" x14ac:dyDescent="0.25">
      <c r="B11998" s="1"/>
    </row>
    <row r="11999" spans="2:2" x14ac:dyDescent="0.25">
      <c r="B11999" s="1"/>
    </row>
    <row r="12000" spans="2:2" x14ac:dyDescent="0.25">
      <c r="B12000" s="1"/>
    </row>
    <row r="12001" spans="2:2" x14ac:dyDescent="0.25">
      <c r="B12001" s="1"/>
    </row>
    <row r="12002" spans="2:2" x14ac:dyDescent="0.25">
      <c r="B12002" s="1"/>
    </row>
    <row r="12003" spans="2:2" x14ac:dyDescent="0.25">
      <c r="B12003" s="1"/>
    </row>
    <row r="12004" spans="2:2" x14ac:dyDescent="0.25">
      <c r="B12004" s="1"/>
    </row>
    <row r="12005" spans="2:2" x14ac:dyDescent="0.25">
      <c r="B12005" s="1"/>
    </row>
    <row r="12006" spans="2:2" x14ac:dyDescent="0.25">
      <c r="B12006" s="1"/>
    </row>
    <row r="12007" spans="2:2" x14ac:dyDescent="0.25">
      <c r="B12007" s="1"/>
    </row>
    <row r="12008" spans="2:2" x14ac:dyDescent="0.25">
      <c r="B12008" s="1"/>
    </row>
    <row r="12009" spans="2:2" x14ac:dyDescent="0.25">
      <c r="B12009" s="1"/>
    </row>
    <row r="12010" spans="2:2" x14ac:dyDescent="0.25">
      <c r="B12010" s="1"/>
    </row>
    <row r="12011" spans="2:2" x14ac:dyDescent="0.25">
      <c r="B12011" s="1"/>
    </row>
    <row r="12012" spans="2:2" x14ac:dyDescent="0.25">
      <c r="B12012" s="1"/>
    </row>
    <row r="12013" spans="2:2" x14ac:dyDescent="0.25">
      <c r="B12013" s="1"/>
    </row>
    <row r="12014" spans="2:2" x14ac:dyDescent="0.25">
      <c r="B12014" s="1"/>
    </row>
    <row r="12015" spans="2:2" x14ac:dyDescent="0.25">
      <c r="B12015" s="1"/>
    </row>
    <row r="12016" spans="2:2" x14ac:dyDescent="0.25">
      <c r="B12016" s="1"/>
    </row>
    <row r="12017" spans="2:2" x14ac:dyDescent="0.25">
      <c r="B12017" s="1"/>
    </row>
    <row r="12018" spans="2:2" x14ac:dyDescent="0.25">
      <c r="B12018" s="1"/>
    </row>
    <row r="12019" spans="2:2" x14ac:dyDescent="0.25">
      <c r="B12019" s="1"/>
    </row>
    <row r="12020" spans="2:2" x14ac:dyDescent="0.25">
      <c r="B12020" s="1"/>
    </row>
    <row r="12021" spans="2:2" x14ac:dyDescent="0.25">
      <c r="B12021" s="1"/>
    </row>
    <row r="12022" spans="2:2" x14ac:dyDescent="0.25">
      <c r="B12022" s="1"/>
    </row>
    <row r="12023" spans="2:2" x14ac:dyDescent="0.25">
      <c r="B12023" s="1"/>
    </row>
    <row r="12024" spans="2:2" x14ac:dyDescent="0.25">
      <c r="B12024" s="1"/>
    </row>
    <row r="12025" spans="2:2" x14ac:dyDescent="0.25">
      <c r="B12025" s="1"/>
    </row>
    <row r="12026" spans="2:2" x14ac:dyDescent="0.25">
      <c r="B12026" s="1"/>
    </row>
    <row r="12027" spans="2:2" x14ac:dyDescent="0.25">
      <c r="B12027" s="1"/>
    </row>
    <row r="12028" spans="2:2" x14ac:dyDescent="0.25">
      <c r="B12028" s="1"/>
    </row>
    <row r="12029" spans="2:2" x14ac:dyDescent="0.25">
      <c r="B12029" s="1"/>
    </row>
    <row r="12030" spans="2:2" x14ac:dyDescent="0.25">
      <c r="B12030" s="1"/>
    </row>
    <row r="12031" spans="2:2" x14ac:dyDescent="0.25">
      <c r="B12031" s="1"/>
    </row>
    <row r="12032" spans="2:2" x14ac:dyDescent="0.25">
      <c r="B12032" s="1"/>
    </row>
    <row r="12033" spans="2:2" x14ac:dyDescent="0.25">
      <c r="B12033" s="1"/>
    </row>
    <row r="12034" spans="2:2" x14ac:dyDescent="0.25">
      <c r="B12034" s="1"/>
    </row>
    <row r="12035" spans="2:2" x14ac:dyDescent="0.25">
      <c r="B12035" s="1"/>
    </row>
    <row r="12036" spans="2:2" x14ac:dyDescent="0.25">
      <c r="B12036" s="1"/>
    </row>
    <row r="12037" spans="2:2" x14ac:dyDescent="0.25">
      <c r="B12037" s="1"/>
    </row>
    <row r="12038" spans="2:2" x14ac:dyDescent="0.25">
      <c r="B12038" s="1"/>
    </row>
    <row r="12039" spans="2:2" x14ac:dyDescent="0.25">
      <c r="B12039" s="1"/>
    </row>
    <row r="12040" spans="2:2" x14ac:dyDescent="0.25">
      <c r="B12040" s="1"/>
    </row>
    <row r="12041" spans="2:2" x14ac:dyDescent="0.25">
      <c r="B12041" s="1"/>
    </row>
    <row r="12042" spans="2:2" x14ac:dyDescent="0.25">
      <c r="B12042" s="1"/>
    </row>
    <row r="12043" spans="2:2" x14ac:dyDescent="0.25">
      <c r="B12043" s="1"/>
    </row>
    <row r="12044" spans="2:2" x14ac:dyDescent="0.25">
      <c r="B12044" s="1"/>
    </row>
    <row r="12045" spans="2:2" x14ac:dyDescent="0.25">
      <c r="B12045" s="1"/>
    </row>
    <row r="12046" spans="2:2" x14ac:dyDescent="0.25">
      <c r="B12046" s="1"/>
    </row>
    <row r="12047" spans="2:2" x14ac:dyDescent="0.25">
      <c r="B12047" s="1"/>
    </row>
    <row r="12048" spans="2:2" x14ac:dyDescent="0.25">
      <c r="B12048" s="1"/>
    </row>
    <row r="12049" spans="2:2" x14ac:dyDescent="0.25">
      <c r="B12049" s="1"/>
    </row>
    <row r="12050" spans="2:2" x14ac:dyDescent="0.25">
      <c r="B12050" s="1"/>
    </row>
    <row r="12051" spans="2:2" x14ac:dyDescent="0.25">
      <c r="B12051" s="1"/>
    </row>
    <row r="12052" spans="2:2" x14ac:dyDescent="0.25">
      <c r="B12052" s="1"/>
    </row>
    <row r="12053" spans="2:2" x14ac:dyDescent="0.25">
      <c r="B12053" s="1"/>
    </row>
    <row r="12054" spans="2:2" x14ac:dyDescent="0.25">
      <c r="B12054" s="1"/>
    </row>
    <row r="12055" spans="2:2" x14ac:dyDescent="0.25">
      <c r="B12055" s="1"/>
    </row>
    <row r="12056" spans="2:2" x14ac:dyDescent="0.25">
      <c r="B12056" s="1"/>
    </row>
    <row r="12057" spans="2:2" x14ac:dyDescent="0.25">
      <c r="B12057" s="1"/>
    </row>
    <row r="12058" spans="2:2" x14ac:dyDescent="0.25">
      <c r="B12058" s="1"/>
    </row>
    <row r="12059" spans="2:2" x14ac:dyDescent="0.25">
      <c r="B12059" s="1"/>
    </row>
    <row r="12060" spans="2:2" x14ac:dyDescent="0.25">
      <c r="B12060" s="1"/>
    </row>
    <row r="12061" spans="2:2" x14ac:dyDescent="0.25">
      <c r="B12061" s="1"/>
    </row>
    <row r="12062" spans="2:2" x14ac:dyDescent="0.25">
      <c r="B12062" s="1"/>
    </row>
    <row r="12063" spans="2:2" x14ac:dyDescent="0.25">
      <c r="B12063" s="1"/>
    </row>
    <row r="12064" spans="2:2" x14ac:dyDescent="0.25">
      <c r="B12064" s="1"/>
    </row>
    <row r="12065" spans="2:2" x14ac:dyDescent="0.25">
      <c r="B12065" s="1"/>
    </row>
    <row r="12066" spans="2:2" x14ac:dyDescent="0.25">
      <c r="B12066" s="1"/>
    </row>
    <row r="12067" spans="2:2" x14ac:dyDescent="0.25">
      <c r="B12067" s="1"/>
    </row>
    <row r="12068" spans="2:2" x14ac:dyDescent="0.25">
      <c r="B12068" s="1"/>
    </row>
    <row r="12069" spans="2:2" x14ac:dyDescent="0.25">
      <c r="B12069" s="1"/>
    </row>
    <row r="12070" spans="2:2" x14ac:dyDescent="0.25">
      <c r="B12070" s="1"/>
    </row>
    <row r="12071" spans="2:2" x14ac:dyDescent="0.25">
      <c r="B12071" s="1"/>
    </row>
    <row r="12072" spans="2:2" x14ac:dyDescent="0.25">
      <c r="B12072" s="1"/>
    </row>
    <row r="12073" spans="2:2" x14ac:dyDescent="0.25">
      <c r="B12073" s="1"/>
    </row>
    <row r="12074" spans="2:2" x14ac:dyDescent="0.25">
      <c r="B12074" s="1"/>
    </row>
    <row r="12075" spans="2:2" x14ac:dyDescent="0.25">
      <c r="B12075" s="1"/>
    </row>
    <row r="12076" spans="2:2" x14ac:dyDescent="0.25">
      <c r="B12076" s="1"/>
    </row>
    <row r="12077" spans="2:2" x14ac:dyDescent="0.25">
      <c r="B12077" s="1"/>
    </row>
    <row r="12078" spans="2:2" x14ac:dyDescent="0.25">
      <c r="B12078" s="1"/>
    </row>
    <row r="12079" spans="2:2" x14ac:dyDescent="0.25">
      <c r="B12079" s="1"/>
    </row>
    <row r="12080" spans="2:2" x14ac:dyDescent="0.25">
      <c r="B12080" s="1"/>
    </row>
    <row r="12081" spans="2:2" x14ac:dyDescent="0.25">
      <c r="B12081" s="1"/>
    </row>
    <row r="12082" spans="2:2" x14ac:dyDescent="0.25">
      <c r="B12082" s="1"/>
    </row>
    <row r="12083" spans="2:2" x14ac:dyDescent="0.25">
      <c r="B12083" s="1"/>
    </row>
    <row r="12084" spans="2:2" x14ac:dyDescent="0.25">
      <c r="B12084" s="1"/>
    </row>
    <row r="12085" spans="2:2" x14ac:dyDescent="0.25">
      <c r="B12085" s="1"/>
    </row>
    <row r="12086" spans="2:2" x14ac:dyDescent="0.25">
      <c r="B12086" s="1"/>
    </row>
    <row r="12087" spans="2:2" x14ac:dyDescent="0.25">
      <c r="B12087" s="1"/>
    </row>
    <row r="12088" spans="2:2" x14ac:dyDescent="0.25">
      <c r="B12088" s="1"/>
    </row>
    <row r="12089" spans="2:2" x14ac:dyDescent="0.25">
      <c r="B12089" s="1"/>
    </row>
    <row r="12090" spans="2:2" x14ac:dyDescent="0.25">
      <c r="B12090" s="1"/>
    </row>
    <row r="12091" spans="2:2" x14ac:dyDescent="0.25">
      <c r="B12091" s="1"/>
    </row>
    <row r="12092" spans="2:2" x14ac:dyDescent="0.25">
      <c r="B12092" s="1"/>
    </row>
    <row r="12093" spans="2:2" x14ac:dyDescent="0.25">
      <c r="B12093" s="1"/>
    </row>
    <row r="12094" spans="2:2" x14ac:dyDescent="0.25">
      <c r="B12094" s="1"/>
    </row>
    <row r="12095" spans="2:2" x14ac:dyDescent="0.25">
      <c r="B12095" s="1"/>
    </row>
    <row r="12096" spans="2:2" x14ac:dyDescent="0.25">
      <c r="B12096" s="1"/>
    </row>
    <row r="12097" spans="2:2" x14ac:dyDescent="0.25">
      <c r="B12097" s="1"/>
    </row>
    <row r="12098" spans="2:2" x14ac:dyDescent="0.25">
      <c r="B12098" s="1"/>
    </row>
    <row r="12099" spans="2:2" x14ac:dyDescent="0.25">
      <c r="B12099" s="1"/>
    </row>
    <row r="12100" spans="2:2" x14ac:dyDescent="0.25">
      <c r="B12100" s="1"/>
    </row>
    <row r="12101" spans="2:2" x14ac:dyDescent="0.25">
      <c r="B12101" s="1"/>
    </row>
    <row r="12102" spans="2:2" x14ac:dyDescent="0.25">
      <c r="B12102" s="1"/>
    </row>
    <row r="12103" spans="2:2" x14ac:dyDescent="0.25">
      <c r="B12103" s="1"/>
    </row>
    <row r="12104" spans="2:2" x14ac:dyDescent="0.25">
      <c r="B12104" s="1"/>
    </row>
    <row r="12105" spans="2:2" x14ac:dyDescent="0.25">
      <c r="B12105" s="1"/>
    </row>
    <row r="12106" spans="2:2" x14ac:dyDescent="0.25">
      <c r="B12106" s="1"/>
    </row>
    <row r="12107" spans="2:2" x14ac:dyDescent="0.25">
      <c r="B12107" s="1"/>
    </row>
    <row r="12108" spans="2:2" x14ac:dyDescent="0.25">
      <c r="B12108" s="1"/>
    </row>
    <row r="12109" spans="2:2" x14ac:dyDescent="0.25">
      <c r="B12109" s="1"/>
    </row>
    <row r="12110" spans="2:2" x14ac:dyDescent="0.25">
      <c r="B12110" s="1"/>
    </row>
    <row r="12111" spans="2:2" x14ac:dyDescent="0.25">
      <c r="B12111" s="1"/>
    </row>
    <row r="12112" spans="2:2" x14ac:dyDescent="0.25">
      <c r="B12112" s="1"/>
    </row>
    <row r="12113" spans="2:2" x14ac:dyDescent="0.25">
      <c r="B12113" s="1"/>
    </row>
    <row r="12114" spans="2:2" x14ac:dyDescent="0.25">
      <c r="B12114" s="1"/>
    </row>
    <row r="12115" spans="2:2" x14ac:dyDescent="0.25">
      <c r="B12115" s="1"/>
    </row>
    <row r="12116" spans="2:2" x14ac:dyDescent="0.25">
      <c r="B12116" s="1"/>
    </row>
    <row r="12117" spans="2:2" x14ac:dyDescent="0.25">
      <c r="B12117" s="1"/>
    </row>
    <row r="12118" spans="2:2" x14ac:dyDescent="0.25">
      <c r="B12118" s="1"/>
    </row>
    <row r="12119" spans="2:2" x14ac:dyDescent="0.25">
      <c r="B12119" s="1"/>
    </row>
    <row r="12120" spans="2:2" x14ac:dyDescent="0.25">
      <c r="B12120" s="1"/>
    </row>
    <row r="12121" spans="2:2" x14ac:dyDescent="0.25">
      <c r="B12121" s="1"/>
    </row>
    <row r="12122" spans="2:2" x14ac:dyDescent="0.25">
      <c r="B12122" s="1"/>
    </row>
    <row r="12123" spans="2:2" x14ac:dyDescent="0.25">
      <c r="B12123" s="1"/>
    </row>
    <row r="12124" spans="2:2" x14ac:dyDescent="0.25">
      <c r="B12124" s="1"/>
    </row>
    <row r="12125" spans="2:2" x14ac:dyDescent="0.25">
      <c r="B12125" s="1"/>
    </row>
    <row r="12126" spans="2:2" x14ac:dyDescent="0.25">
      <c r="B12126" s="1"/>
    </row>
    <row r="12127" spans="2:2" x14ac:dyDescent="0.25">
      <c r="B12127" s="1"/>
    </row>
    <row r="12128" spans="2:2" x14ac:dyDescent="0.25">
      <c r="B12128" s="1"/>
    </row>
    <row r="12129" spans="2:2" x14ac:dyDescent="0.25">
      <c r="B12129" s="1"/>
    </row>
    <row r="12130" spans="2:2" x14ac:dyDescent="0.25">
      <c r="B12130" s="1"/>
    </row>
    <row r="12131" spans="2:2" x14ac:dyDescent="0.25">
      <c r="B12131" s="1"/>
    </row>
    <row r="12132" spans="2:2" x14ac:dyDescent="0.25">
      <c r="B12132" s="1"/>
    </row>
    <row r="12133" spans="2:2" x14ac:dyDescent="0.25">
      <c r="B12133" s="1"/>
    </row>
    <row r="12134" spans="2:2" x14ac:dyDescent="0.25">
      <c r="B12134" s="1"/>
    </row>
    <row r="12135" spans="2:2" x14ac:dyDescent="0.25">
      <c r="B12135" s="1"/>
    </row>
    <row r="12136" spans="2:2" x14ac:dyDescent="0.25">
      <c r="B12136" s="1"/>
    </row>
    <row r="12137" spans="2:2" x14ac:dyDescent="0.25">
      <c r="B12137" s="1"/>
    </row>
    <row r="12138" spans="2:2" x14ac:dyDescent="0.25">
      <c r="B12138" s="1"/>
    </row>
    <row r="12139" spans="2:2" x14ac:dyDescent="0.25">
      <c r="B12139" s="1"/>
    </row>
    <row r="12140" spans="2:2" x14ac:dyDescent="0.25">
      <c r="B12140" s="1"/>
    </row>
    <row r="12141" spans="2:2" x14ac:dyDescent="0.25">
      <c r="B12141" s="1"/>
    </row>
    <row r="12142" spans="2:2" x14ac:dyDescent="0.25">
      <c r="B12142" s="1"/>
    </row>
    <row r="12143" spans="2:2" x14ac:dyDescent="0.25">
      <c r="B12143" s="1"/>
    </row>
    <row r="12144" spans="2:2" x14ac:dyDescent="0.25">
      <c r="B12144" s="1"/>
    </row>
    <row r="12145" spans="2:2" x14ac:dyDescent="0.25">
      <c r="B12145" s="1"/>
    </row>
    <row r="12146" spans="2:2" x14ac:dyDescent="0.25">
      <c r="B12146" s="1"/>
    </row>
    <row r="12147" spans="2:2" x14ac:dyDescent="0.25">
      <c r="B12147" s="1"/>
    </row>
    <row r="12148" spans="2:2" x14ac:dyDescent="0.25">
      <c r="B12148" s="1"/>
    </row>
    <row r="12149" spans="2:2" x14ac:dyDescent="0.25">
      <c r="B12149" s="1"/>
    </row>
    <row r="12150" spans="2:2" x14ac:dyDescent="0.25">
      <c r="B12150" s="1"/>
    </row>
    <row r="12151" spans="2:2" x14ac:dyDescent="0.25">
      <c r="B12151" s="1"/>
    </row>
    <row r="12152" spans="2:2" x14ac:dyDescent="0.25">
      <c r="B12152" s="1"/>
    </row>
    <row r="12153" spans="2:2" x14ac:dyDescent="0.25">
      <c r="B12153" s="1"/>
    </row>
    <row r="12154" spans="2:2" x14ac:dyDescent="0.25">
      <c r="B12154" s="1"/>
    </row>
    <row r="12155" spans="2:2" x14ac:dyDescent="0.25">
      <c r="B12155" s="1"/>
    </row>
    <row r="12156" spans="2:2" x14ac:dyDescent="0.25">
      <c r="B12156" s="1"/>
    </row>
    <row r="12157" spans="2:2" x14ac:dyDescent="0.25">
      <c r="B12157" s="1"/>
    </row>
    <row r="12158" spans="2:2" x14ac:dyDescent="0.25">
      <c r="B12158" s="1"/>
    </row>
    <row r="12159" spans="2:2" x14ac:dyDescent="0.25">
      <c r="B12159" s="1"/>
    </row>
    <row r="12160" spans="2:2" x14ac:dyDescent="0.25">
      <c r="B12160" s="1"/>
    </row>
    <row r="12161" spans="2:2" x14ac:dyDescent="0.25">
      <c r="B12161" s="1"/>
    </row>
    <row r="12162" spans="2:2" x14ac:dyDescent="0.25">
      <c r="B12162" s="1"/>
    </row>
    <row r="12163" spans="2:2" x14ac:dyDescent="0.25">
      <c r="B12163" s="1"/>
    </row>
    <row r="12164" spans="2:2" x14ac:dyDescent="0.25">
      <c r="B12164" s="1"/>
    </row>
    <row r="12165" spans="2:2" x14ac:dyDescent="0.25">
      <c r="B12165" s="1"/>
    </row>
    <row r="12166" spans="2:2" x14ac:dyDescent="0.25">
      <c r="B12166" s="1"/>
    </row>
    <row r="12167" spans="2:2" x14ac:dyDescent="0.25">
      <c r="B12167" s="1"/>
    </row>
    <row r="12168" spans="2:2" x14ac:dyDescent="0.25">
      <c r="B12168" s="1"/>
    </row>
    <row r="12169" spans="2:2" x14ac:dyDescent="0.25">
      <c r="B12169" s="1"/>
    </row>
    <row r="12170" spans="2:2" x14ac:dyDescent="0.25">
      <c r="B12170" s="1"/>
    </row>
    <row r="12171" spans="2:2" x14ac:dyDescent="0.25">
      <c r="B12171" s="1"/>
    </row>
    <row r="12172" spans="2:2" x14ac:dyDescent="0.25">
      <c r="B12172" s="1"/>
    </row>
    <row r="12173" spans="2:2" x14ac:dyDescent="0.25">
      <c r="B12173" s="1"/>
    </row>
    <row r="12174" spans="2:2" x14ac:dyDescent="0.25">
      <c r="B12174" s="1"/>
    </row>
    <row r="12175" spans="2:2" x14ac:dyDescent="0.25">
      <c r="B12175" s="1"/>
    </row>
    <row r="12176" spans="2:2" x14ac:dyDescent="0.25">
      <c r="B12176" s="1"/>
    </row>
    <row r="12177" spans="2:2" x14ac:dyDescent="0.25">
      <c r="B12177" s="1"/>
    </row>
    <row r="12178" spans="2:2" x14ac:dyDescent="0.25">
      <c r="B12178" s="1"/>
    </row>
    <row r="12179" spans="2:2" x14ac:dyDescent="0.25">
      <c r="B12179" s="1"/>
    </row>
    <row r="12180" spans="2:2" x14ac:dyDescent="0.25">
      <c r="B12180" s="1"/>
    </row>
    <row r="12181" spans="2:2" x14ac:dyDescent="0.25">
      <c r="B12181" s="1"/>
    </row>
    <row r="12182" spans="2:2" x14ac:dyDescent="0.25">
      <c r="B12182" s="1"/>
    </row>
    <row r="12183" spans="2:2" x14ac:dyDescent="0.25">
      <c r="B12183" s="1"/>
    </row>
    <row r="12184" spans="2:2" x14ac:dyDescent="0.25">
      <c r="B12184" s="1"/>
    </row>
    <row r="12185" spans="2:2" x14ac:dyDescent="0.25">
      <c r="B12185" s="1"/>
    </row>
    <row r="12186" spans="2:2" x14ac:dyDescent="0.25">
      <c r="B12186" s="1"/>
    </row>
    <row r="12187" spans="2:2" x14ac:dyDescent="0.25">
      <c r="B12187" s="1"/>
    </row>
    <row r="12188" spans="2:2" x14ac:dyDescent="0.25">
      <c r="B12188" s="1"/>
    </row>
    <row r="12189" spans="2:2" x14ac:dyDescent="0.25">
      <c r="B12189" s="1"/>
    </row>
    <row r="12190" spans="2:2" x14ac:dyDescent="0.25">
      <c r="B12190" s="1"/>
    </row>
    <row r="12191" spans="2:2" x14ac:dyDescent="0.25">
      <c r="B12191" s="1"/>
    </row>
    <row r="12192" spans="2:2" x14ac:dyDescent="0.25">
      <c r="B12192" s="1"/>
    </row>
    <row r="12193" spans="2:2" x14ac:dyDescent="0.25">
      <c r="B12193" s="1"/>
    </row>
    <row r="12194" spans="2:2" x14ac:dyDescent="0.25">
      <c r="B12194" s="1"/>
    </row>
    <row r="12195" spans="2:2" x14ac:dyDescent="0.25">
      <c r="B12195" s="1"/>
    </row>
    <row r="12196" spans="2:2" x14ac:dyDescent="0.25">
      <c r="B12196" s="1"/>
    </row>
    <row r="12197" spans="2:2" x14ac:dyDescent="0.25">
      <c r="B12197" s="1"/>
    </row>
    <row r="12198" spans="2:2" x14ac:dyDescent="0.25">
      <c r="B12198" s="1"/>
    </row>
    <row r="12199" spans="2:2" x14ac:dyDescent="0.25">
      <c r="B12199" s="1"/>
    </row>
    <row r="12200" spans="2:2" x14ac:dyDescent="0.25">
      <c r="B12200" s="1"/>
    </row>
    <row r="12201" spans="2:2" x14ac:dyDescent="0.25">
      <c r="B12201" s="1"/>
    </row>
    <row r="12202" spans="2:2" x14ac:dyDescent="0.25">
      <c r="B12202" s="1"/>
    </row>
    <row r="12203" spans="2:2" x14ac:dyDescent="0.25">
      <c r="B12203" s="1"/>
    </row>
    <row r="12204" spans="2:2" x14ac:dyDescent="0.25">
      <c r="B12204" s="1"/>
    </row>
    <row r="12205" spans="2:2" x14ac:dyDescent="0.25">
      <c r="B12205" s="1"/>
    </row>
    <row r="12206" spans="2:2" x14ac:dyDescent="0.25">
      <c r="B12206" s="1"/>
    </row>
    <row r="12207" spans="2:2" x14ac:dyDescent="0.25">
      <c r="B12207" s="1"/>
    </row>
    <row r="12208" spans="2:2" x14ac:dyDescent="0.25">
      <c r="B12208" s="1"/>
    </row>
    <row r="12209" spans="2:2" x14ac:dyDescent="0.25">
      <c r="B12209" s="1"/>
    </row>
    <row r="12210" spans="2:2" x14ac:dyDescent="0.25">
      <c r="B12210" s="1"/>
    </row>
    <row r="12211" spans="2:2" x14ac:dyDescent="0.25">
      <c r="B12211" s="1"/>
    </row>
    <row r="12212" spans="2:2" x14ac:dyDescent="0.25">
      <c r="B12212" s="1"/>
    </row>
    <row r="12213" spans="2:2" x14ac:dyDescent="0.25">
      <c r="B12213" s="1"/>
    </row>
    <row r="12214" spans="2:2" x14ac:dyDescent="0.25">
      <c r="B12214" s="1"/>
    </row>
    <row r="12215" spans="2:2" x14ac:dyDescent="0.25">
      <c r="B12215" s="1"/>
    </row>
    <row r="12216" spans="2:2" x14ac:dyDescent="0.25">
      <c r="B12216" s="1"/>
    </row>
    <row r="12217" spans="2:2" x14ac:dyDescent="0.25">
      <c r="B12217" s="1"/>
    </row>
    <row r="12218" spans="2:2" x14ac:dyDescent="0.25">
      <c r="B12218" s="1"/>
    </row>
    <row r="12219" spans="2:2" x14ac:dyDescent="0.25">
      <c r="B12219" s="1"/>
    </row>
    <row r="12220" spans="2:2" x14ac:dyDescent="0.25">
      <c r="B12220" s="1"/>
    </row>
    <row r="12221" spans="2:2" x14ac:dyDescent="0.25">
      <c r="B12221" s="1"/>
    </row>
    <row r="12222" spans="2:2" x14ac:dyDescent="0.25">
      <c r="B12222" s="1"/>
    </row>
    <row r="12223" spans="2:2" x14ac:dyDescent="0.25">
      <c r="B12223" s="1"/>
    </row>
    <row r="12224" spans="2:2" x14ac:dyDescent="0.25">
      <c r="B12224" s="1"/>
    </row>
    <row r="12225" spans="2:2" x14ac:dyDescent="0.25">
      <c r="B12225" s="1"/>
    </row>
    <row r="12226" spans="2:2" x14ac:dyDescent="0.25">
      <c r="B12226" s="1"/>
    </row>
    <row r="12227" spans="2:2" x14ac:dyDescent="0.25">
      <c r="B12227" s="1"/>
    </row>
    <row r="12228" spans="2:2" x14ac:dyDescent="0.25">
      <c r="B12228" s="1"/>
    </row>
    <row r="12229" spans="2:2" x14ac:dyDescent="0.25">
      <c r="B12229" s="1"/>
    </row>
    <row r="12230" spans="2:2" x14ac:dyDescent="0.25">
      <c r="B12230" s="1"/>
    </row>
    <row r="12231" spans="2:2" x14ac:dyDescent="0.25">
      <c r="B12231" s="1"/>
    </row>
    <row r="12232" spans="2:2" x14ac:dyDescent="0.25">
      <c r="B12232" s="1"/>
    </row>
    <row r="12233" spans="2:2" x14ac:dyDescent="0.25">
      <c r="B12233" s="1"/>
    </row>
    <row r="12234" spans="2:2" x14ac:dyDescent="0.25">
      <c r="B12234" s="1"/>
    </row>
    <row r="12235" spans="2:2" x14ac:dyDescent="0.25">
      <c r="B12235" s="1"/>
    </row>
    <row r="12236" spans="2:2" x14ac:dyDescent="0.25">
      <c r="B12236" s="1"/>
    </row>
    <row r="12237" spans="2:2" x14ac:dyDescent="0.25">
      <c r="B12237" s="1"/>
    </row>
    <row r="12238" spans="2:2" x14ac:dyDescent="0.25">
      <c r="B12238" s="1"/>
    </row>
    <row r="12239" spans="2:2" x14ac:dyDescent="0.25">
      <c r="B12239" s="1"/>
    </row>
    <row r="12240" spans="2:2" x14ac:dyDescent="0.25">
      <c r="B12240" s="1"/>
    </row>
    <row r="12241" spans="2:2" x14ac:dyDescent="0.25">
      <c r="B12241" s="1"/>
    </row>
    <row r="12242" spans="2:2" x14ac:dyDescent="0.25">
      <c r="B12242" s="1"/>
    </row>
    <row r="12243" spans="2:2" x14ac:dyDescent="0.25">
      <c r="B12243" s="1"/>
    </row>
    <row r="12244" spans="2:2" x14ac:dyDescent="0.25">
      <c r="B12244" s="1"/>
    </row>
    <row r="12245" spans="2:2" x14ac:dyDescent="0.25">
      <c r="B12245" s="1"/>
    </row>
    <row r="12246" spans="2:2" x14ac:dyDescent="0.25">
      <c r="B12246" s="1"/>
    </row>
    <row r="12247" spans="2:2" x14ac:dyDescent="0.25">
      <c r="B12247" s="1"/>
    </row>
    <row r="12248" spans="2:2" x14ac:dyDescent="0.25">
      <c r="B12248" s="1"/>
    </row>
    <row r="12249" spans="2:2" x14ac:dyDescent="0.25">
      <c r="B12249" s="1"/>
    </row>
    <row r="12250" spans="2:2" x14ac:dyDescent="0.25">
      <c r="B12250" s="1"/>
    </row>
    <row r="12251" spans="2:2" x14ac:dyDescent="0.25">
      <c r="B12251" s="1"/>
    </row>
    <row r="12252" spans="2:2" x14ac:dyDescent="0.25">
      <c r="B12252" s="1"/>
    </row>
    <row r="12253" spans="2:2" x14ac:dyDescent="0.25">
      <c r="B12253" s="1"/>
    </row>
    <row r="12254" spans="2:2" x14ac:dyDescent="0.25">
      <c r="B12254" s="1"/>
    </row>
    <row r="12255" spans="2:2" x14ac:dyDescent="0.25">
      <c r="B12255" s="1"/>
    </row>
    <row r="12256" spans="2:2" x14ac:dyDescent="0.25">
      <c r="B12256" s="1"/>
    </row>
    <row r="12257" spans="2:2" x14ac:dyDescent="0.25">
      <c r="B12257" s="1"/>
    </row>
    <row r="12258" spans="2:2" x14ac:dyDescent="0.25">
      <c r="B12258" s="1"/>
    </row>
    <row r="12259" spans="2:2" x14ac:dyDescent="0.25">
      <c r="B12259" s="1"/>
    </row>
    <row r="12260" spans="2:2" x14ac:dyDescent="0.25">
      <c r="B12260" s="1"/>
    </row>
    <row r="12261" spans="2:2" x14ac:dyDescent="0.25">
      <c r="B12261" s="1"/>
    </row>
    <row r="12262" spans="2:2" x14ac:dyDescent="0.25">
      <c r="B12262" s="1"/>
    </row>
    <row r="12263" spans="2:2" x14ac:dyDescent="0.25">
      <c r="B12263" s="1"/>
    </row>
    <row r="12264" spans="2:2" x14ac:dyDescent="0.25">
      <c r="B12264" s="1"/>
    </row>
    <row r="12265" spans="2:2" x14ac:dyDescent="0.25">
      <c r="B12265" s="1"/>
    </row>
    <row r="12266" spans="2:2" x14ac:dyDescent="0.25">
      <c r="B12266" s="1"/>
    </row>
    <row r="12267" spans="2:2" x14ac:dyDescent="0.25">
      <c r="B12267" s="1"/>
    </row>
    <row r="12268" spans="2:2" x14ac:dyDescent="0.25">
      <c r="B12268" s="1"/>
    </row>
    <row r="12269" spans="2:2" x14ac:dyDescent="0.25">
      <c r="B12269" s="1"/>
    </row>
    <row r="12270" spans="2:2" x14ac:dyDescent="0.25">
      <c r="B12270" s="1"/>
    </row>
    <row r="12271" spans="2:2" x14ac:dyDescent="0.25">
      <c r="B12271" s="1"/>
    </row>
    <row r="12272" spans="2:2" x14ac:dyDescent="0.25">
      <c r="B12272" s="1"/>
    </row>
    <row r="12273" spans="2:2" x14ac:dyDescent="0.25">
      <c r="B12273" s="1"/>
    </row>
    <row r="12274" spans="2:2" x14ac:dyDescent="0.25">
      <c r="B12274" s="1"/>
    </row>
    <row r="12275" spans="2:2" x14ac:dyDescent="0.25">
      <c r="B12275" s="1"/>
    </row>
    <row r="12276" spans="2:2" x14ac:dyDescent="0.25">
      <c r="B12276" s="1"/>
    </row>
    <row r="12277" spans="2:2" x14ac:dyDescent="0.25">
      <c r="B12277" s="1"/>
    </row>
    <row r="12278" spans="2:2" x14ac:dyDescent="0.25">
      <c r="B12278" s="1"/>
    </row>
    <row r="12279" spans="2:2" x14ac:dyDescent="0.25">
      <c r="B12279" s="1"/>
    </row>
    <row r="12280" spans="2:2" x14ac:dyDescent="0.25">
      <c r="B12280" s="1"/>
    </row>
    <row r="12281" spans="2:2" x14ac:dyDescent="0.25">
      <c r="B12281" s="1"/>
    </row>
    <row r="12282" spans="2:2" x14ac:dyDescent="0.25">
      <c r="B12282" s="1"/>
    </row>
    <row r="12283" spans="2:2" x14ac:dyDescent="0.25">
      <c r="B12283" s="1"/>
    </row>
    <row r="12284" spans="2:2" x14ac:dyDescent="0.25">
      <c r="B12284" s="1"/>
    </row>
    <row r="12285" spans="2:2" x14ac:dyDescent="0.25">
      <c r="B12285" s="1"/>
    </row>
    <row r="12286" spans="2:2" x14ac:dyDescent="0.25">
      <c r="B12286" s="1"/>
    </row>
    <row r="12287" spans="2:2" x14ac:dyDescent="0.25">
      <c r="B12287" s="1"/>
    </row>
    <row r="12288" spans="2:2" x14ac:dyDescent="0.25">
      <c r="B12288" s="1"/>
    </row>
    <row r="12289" spans="2:2" x14ac:dyDescent="0.25">
      <c r="B12289" s="1"/>
    </row>
    <row r="12290" spans="2:2" x14ac:dyDescent="0.25">
      <c r="B12290" s="1"/>
    </row>
    <row r="12291" spans="2:2" x14ac:dyDescent="0.25">
      <c r="B12291" s="1"/>
    </row>
    <row r="12292" spans="2:2" x14ac:dyDescent="0.25">
      <c r="B12292" s="1"/>
    </row>
    <row r="12293" spans="2:2" x14ac:dyDescent="0.25">
      <c r="B12293" s="1"/>
    </row>
    <row r="12294" spans="2:2" x14ac:dyDescent="0.25">
      <c r="B12294" s="1"/>
    </row>
    <row r="12295" spans="2:2" x14ac:dyDescent="0.25">
      <c r="B12295" s="1"/>
    </row>
    <row r="12296" spans="2:2" x14ac:dyDescent="0.25">
      <c r="B12296" s="1"/>
    </row>
    <row r="12297" spans="2:2" x14ac:dyDescent="0.25">
      <c r="B12297" s="1"/>
    </row>
    <row r="12298" spans="2:2" x14ac:dyDescent="0.25">
      <c r="B12298" s="1"/>
    </row>
    <row r="12299" spans="2:2" x14ac:dyDescent="0.25">
      <c r="B12299" s="1"/>
    </row>
    <row r="12300" spans="2:2" x14ac:dyDescent="0.25">
      <c r="B12300" s="1"/>
    </row>
    <row r="12301" spans="2:2" x14ac:dyDescent="0.25">
      <c r="B12301" s="1"/>
    </row>
    <row r="12302" spans="2:2" x14ac:dyDescent="0.25">
      <c r="B12302" s="1"/>
    </row>
    <row r="12303" spans="2:2" x14ac:dyDescent="0.25">
      <c r="B12303" s="1"/>
    </row>
    <row r="12304" spans="2:2" x14ac:dyDescent="0.25">
      <c r="B12304" s="1"/>
    </row>
    <row r="12305" spans="2:2" x14ac:dyDescent="0.25">
      <c r="B12305" s="1"/>
    </row>
    <row r="12306" spans="2:2" x14ac:dyDescent="0.25">
      <c r="B12306" s="1"/>
    </row>
    <row r="12307" spans="2:2" x14ac:dyDescent="0.25">
      <c r="B12307" s="1"/>
    </row>
    <row r="12308" spans="2:2" x14ac:dyDescent="0.25">
      <c r="B12308" s="1"/>
    </row>
    <row r="12309" spans="2:2" x14ac:dyDescent="0.25">
      <c r="B12309" s="1"/>
    </row>
    <row r="12310" spans="2:2" x14ac:dyDescent="0.25">
      <c r="B12310" s="1"/>
    </row>
    <row r="12311" spans="2:2" x14ac:dyDescent="0.25">
      <c r="B12311" s="1"/>
    </row>
    <row r="12312" spans="2:2" x14ac:dyDescent="0.25">
      <c r="B12312" s="1"/>
    </row>
    <row r="12313" spans="2:2" x14ac:dyDescent="0.25">
      <c r="B12313" s="1"/>
    </row>
    <row r="12314" spans="2:2" x14ac:dyDescent="0.25">
      <c r="B12314" s="1"/>
    </row>
    <row r="12315" spans="2:2" x14ac:dyDescent="0.25">
      <c r="B12315" s="1"/>
    </row>
    <row r="12316" spans="2:2" x14ac:dyDescent="0.25">
      <c r="B12316" s="1"/>
    </row>
    <row r="12317" spans="2:2" x14ac:dyDescent="0.25">
      <c r="B12317" s="1"/>
    </row>
    <row r="12318" spans="2:2" x14ac:dyDescent="0.25">
      <c r="B12318" s="1"/>
    </row>
    <row r="12319" spans="2:2" x14ac:dyDescent="0.25">
      <c r="B12319" s="1"/>
    </row>
    <row r="12320" spans="2:2" x14ac:dyDescent="0.25">
      <c r="B12320" s="1"/>
    </row>
    <row r="12321" spans="2:2" x14ac:dyDescent="0.25">
      <c r="B12321" s="1"/>
    </row>
    <row r="12322" spans="2:2" x14ac:dyDescent="0.25">
      <c r="B12322" s="1"/>
    </row>
    <row r="12323" spans="2:2" x14ac:dyDescent="0.25">
      <c r="B12323" s="1"/>
    </row>
    <row r="12324" spans="2:2" x14ac:dyDescent="0.25">
      <c r="B12324" s="1"/>
    </row>
    <row r="12325" spans="2:2" x14ac:dyDescent="0.25">
      <c r="B12325" s="1"/>
    </row>
    <row r="12326" spans="2:2" x14ac:dyDescent="0.25">
      <c r="B12326" s="1"/>
    </row>
    <row r="12327" spans="2:2" x14ac:dyDescent="0.25">
      <c r="B12327" s="1"/>
    </row>
    <row r="12328" spans="2:2" x14ac:dyDescent="0.25">
      <c r="B12328" s="1"/>
    </row>
    <row r="12329" spans="2:2" x14ac:dyDescent="0.25">
      <c r="B12329" s="1"/>
    </row>
    <row r="12330" spans="2:2" x14ac:dyDescent="0.25">
      <c r="B12330" s="1"/>
    </row>
    <row r="12331" spans="2:2" x14ac:dyDescent="0.25">
      <c r="B12331" s="1"/>
    </row>
    <row r="12332" spans="2:2" x14ac:dyDescent="0.25">
      <c r="B12332" s="1"/>
    </row>
    <row r="12333" spans="2:2" x14ac:dyDescent="0.25">
      <c r="B12333" s="1"/>
    </row>
    <row r="12334" spans="2:2" x14ac:dyDescent="0.25">
      <c r="B12334" s="1"/>
    </row>
    <row r="12335" spans="2:2" x14ac:dyDescent="0.25">
      <c r="B12335" s="1"/>
    </row>
    <row r="12336" spans="2:2" x14ac:dyDescent="0.25">
      <c r="B12336" s="1"/>
    </row>
    <row r="12337" spans="2:2" x14ac:dyDescent="0.25">
      <c r="B12337" s="1"/>
    </row>
    <row r="12338" spans="2:2" x14ac:dyDescent="0.25">
      <c r="B12338" s="1"/>
    </row>
    <row r="12339" spans="2:2" x14ac:dyDescent="0.25">
      <c r="B12339" s="1"/>
    </row>
    <row r="12340" spans="2:2" x14ac:dyDescent="0.25">
      <c r="B12340" s="1"/>
    </row>
    <row r="12341" spans="2:2" x14ac:dyDescent="0.25">
      <c r="B12341" s="1"/>
    </row>
    <row r="12342" spans="2:2" x14ac:dyDescent="0.25">
      <c r="B12342" s="1"/>
    </row>
    <row r="12343" spans="2:2" x14ac:dyDescent="0.25">
      <c r="B12343" s="1"/>
    </row>
    <row r="12344" spans="2:2" x14ac:dyDescent="0.25">
      <c r="B12344" s="1"/>
    </row>
    <row r="12345" spans="2:2" x14ac:dyDescent="0.25">
      <c r="B12345" s="1"/>
    </row>
    <row r="12346" spans="2:2" x14ac:dyDescent="0.25">
      <c r="B12346" s="1"/>
    </row>
    <row r="12347" spans="2:2" x14ac:dyDescent="0.25">
      <c r="B12347" s="1"/>
    </row>
    <row r="12348" spans="2:2" x14ac:dyDescent="0.25">
      <c r="B12348" s="1"/>
    </row>
    <row r="12349" spans="2:2" x14ac:dyDescent="0.25">
      <c r="B12349" s="1"/>
    </row>
    <row r="12350" spans="2:2" x14ac:dyDescent="0.25">
      <c r="B12350" s="1"/>
    </row>
    <row r="12351" spans="2:2" x14ac:dyDescent="0.25">
      <c r="B12351" s="1"/>
    </row>
    <row r="12352" spans="2:2" x14ac:dyDescent="0.25">
      <c r="B12352" s="1"/>
    </row>
    <row r="12353" spans="2:2" x14ac:dyDescent="0.25">
      <c r="B12353" s="1"/>
    </row>
    <row r="12354" spans="2:2" x14ac:dyDescent="0.25">
      <c r="B12354" s="1"/>
    </row>
    <row r="12355" spans="2:2" x14ac:dyDescent="0.25">
      <c r="B12355" s="1"/>
    </row>
    <row r="12356" spans="2:2" x14ac:dyDescent="0.25">
      <c r="B12356" s="1"/>
    </row>
    <row r="12357" spans="2:2" x14ac:dyDescent="0.25">
      <c r="B12357" s="1"/>
    </row>
    <row r="12358" spans="2:2" x14ac:dyDescent="0.25">
      <c r="B12358" s="1"/>
    </row>
    <row r="12359" spans="2:2" x14ac:dyDescent="0.25">
      <c r="B12359" s="1"/>
    </row>
    <row r="12360" spans="2:2" x14ac:dyDescent="0.25">
      <c r="B12360" s="1"/>
    </row>
    <row r="12361" spans="2:2" x14ac:dyDescent="0.25">
      <c r="B12361" s="1"/>
    </row>
    <row r="12362" spans="2:2" x14ac:dyDescent="0.25">
      <c r="B12362" s="1"/>
    </row>
    <row r="12363" spans="2:2" x14ac:dyDescent="0.25">
      <c r="B12363" s="1"/>
    </row>
    <row r="12364" spans="2:2" x14ac:dyDescent="0.25">
      <c r="B12364" s="1"/>
    </row>
    <row r="12365" spans="2:2" x14ac:dyDescent="0.25">
      <c r="B12365" s="1"/>
    </row>
    <row r="12366" spans="2:2" x14ac:dyDescent="0.25">
      <c r="B12366" s="1"/>
    </row>
    <row r="12367" spans="2:2" x14ac:dyDescent="0.25">
      <c r="B12367" s="1"/>
    </row>
    <row r="12368" spans="2:2" x14ac:dyDescent="0.25">
      <c r="B12368" s="1"/>
    </row>
    <row r="12369" spans="2:2" x14ac:dyDescent="0.25">
      <c r="B12369" s="1"/>
    </row>
    <row r="12370" spans="2:2" x14ac:dyDescent="0.25">
      <c r="B12370" s="1"/>
    </row>
    <row r="12371" spans="2:2" x14ac:dyDescent="0.25">
      <c r="B12371" s="1"/>
    </row>
    <row r="12372" spans="2:2" x14ac:dyDescent="0.25">
      <c r="B12372" s="1"/>
    </row>
    <row r="12373" spans="2:2" x14ac:dyDescent="0.25">
      <c r="B12373" s="1"/>
    </row>
    <row r="12374" spans="2:2" x14ac:dyDescent="0.25">
      <c r="B12374" s="1"/>
    </row>
    <row r="12375" spans="2:2" x14ac:dyDescent="0.25">
      <c r="B12375" s="1"/>
    </row>
    <row r="12376" spans="2:2" x14ac:dyDescent="0.25">
      <c r="B12376" s="1"/>
    </row>
    <row r="12377" spans="2:2" x14ac:dyDescent="0.25">
      <c r="B12377" s="1"/>
    </row>
    <row r="12378" spans="2:2" x14ac:dyDescent="0.25">
      <c r="B12378" s="1"/>
    </row>
    <row r="12379" spans="2:2" x14ac:dyDescent="0.25">
      <c r="B12379" s="1"/>
    </row>
    <row r="12380" spans="2:2" x14ac:dyDescent="0.25">
      <c r="B12380" s="1"/>
    </row>
    <row r="12381" spans="2:2" x14ac:dyDescent="0.25">
      <c r="B12381" s="1"/>
    </row>
    <row r="12382" spans="2:2" x14ac:dyDescent="0.25">
      <c r="B12382" s="1"/>
    </row>
    <row r="12383" spans="2:2" x14ac:dyDescent="0.25">
      <c r="B12383" s="1"/>
    </row>
    <row r="12384" spans="2:2" x14ac:dyDescent="0.25">
      <c r="B12384" s="1"/>
    </row>
    <row r="12385" spans="2:2" x14ac:dyDescent="0.25">
      <c r="B12385" s="1"/>
    </row>
    <row r="12386" spans="2:2" x14ac:dyDescent="0.25">
      <c r="B12386" s="1"/>
    </row>
    <row r="12387" spans="2:2" x14ac:dyDescent="0.25">
      <c r="B12387" s="1"/>
    </row>
    <row r="12388" spans="2:2" x14ac:dyDescent="0.25">
      <c r="B12388" s="1"/>
    </row>
    <row r="12389" spans="2:2" x14ac:dyDescent="0.25">
      <c r="B12389" s="1"/>
    </row>
    <row r="12390" spans="2:2" x14ac:dyDescent="0.25">
      <c r="B12390" s="1"/>
    </row>
    <row r="12391" spans="2:2" x14ac:dyDescent="0.25">
      <c r="B12391" s="1"/>
    </row>
    <row r="12392" spans="2:2" x14ac:dyDescent="0.25">
      <c r="B12392" s="1"/>
    </row>
    <row r="12393" spans="2:2" x14ac:dyDescent="0.25">
      <c r="B12393" s="1"/>
    </row>
    <row r="12394" spans="2:2" x14ac:dyDescent="0.25">
      <c r="B12394" s="1"/>
    </row>
    <row r="12395" spans="2:2" x14ac:dyDescent="0.25">
      <c r="B12395" s="1"/>
    </row>
    <row r="12396" spans="2:2" x14ac:dyDescent="0.25">
      <c r="B12396" s="1"/>
    </row>
    <row r="12397" spans="2:2" x14ac:dyDescent="0.25">
      <c r="B12397" s="1"/>
    </row>
    <row r="12398" spans="2:2" x14ac:dyDescent="0.25">
      <c r="B12398" s="1"/>
    </row>
    <row r="12399" spans="2:2" x14ac:dyDescent="0.25">
      <c r="B12399" s="1"/>
    </row>
    <row r="12400" spans="2:2" x14ac:dyDescent="0.25">
      <c r="B12400" s="1"/>
    </row>
    <row r="12401" spans="2:2" x14ac:dyDescent="0.25">
      <c r="B12401" s="1"/>
    </row>
    <row r="12402" spans="2:2" x14ac:dyDescent="0.25">
      <c r="B12402" s="1"/>
    </row>
    <row r="12403" spans="2:2" x14ac:dyDescent="0.25">
      <c r="B12403" s="1"/>
    </row>
    <row r="12404" spans="2:2" x14ac:dyDescent="0.25">
      <c r="B12404" s="1"/>
    </row>
    <row r="12405" spans="2:2" x14ac:dyDescent="0.25">
      <c r="B12405" s="1"/>
    </row>
    <row r="12406" spans="2:2" x14ac:dyDescent="0.25">
      <c r="B12406" s="1"/>
    </row>
    <row r="12407" spans="2:2" x14ac:dyDescent="0.25">
      <c r="B12407" s="1"/>
    </row>
    <row r="12408" spans="2:2" x14ac:dyDescent="0.25">
      <c r="B12408" s="1"/>
    </row>
    <row r="12409" spans="2:2" x14ac:dyDescent="0.25">
      <c r="B12409" s="1"/>
    </row>
    <row r="12410" spans="2:2" x14ac:dyDescent="0.25">
      <c r="B12410" s="1"/>
    </row>
    <row r="12411" spans="2:2" x14ac:dyDescent="0.25">
      <c r="B12411" s="1"/>
    </row>
    <row r="12412" spans="2:2" x14ac:dyDescent="0.25">
      <c r="B12412" s="1"/>
    </row>
    <row r="12413" spans="2:2" x14ac:dyDescent="0.25">
      <c r="B12413" s="1"/>
    </row>
    <row r="12414" spans="2:2" x14ac:dyDescent="0.25">
      <c r="B12414" s="1"/>
    </row>
    <row r="12415" spans="2:2" x14ac:dyDescent="0.25">
      <c r="B12415" s="1"/>
    </row>
    <row r="12416" spans="2:2" x14ac:dyDescent="0.25">
      <c r="B12416" s="1"/>
    </row>
    <row r="12417" spans="2:2" x14ac:dyDescent="0.25">
      <c r="B12417" s="1"/>
    </row>
    <row r="12418" spans="2:2" x14ac:dyDescent="0.25">
      <c r="B12418" s="1"/>
    </row>
    <row r="12419" spans="2:2" x14ac:dyDescent="0.25">
      <c r="B12419" s="1"/>
    </row>
    <row r="12420" spans="2:2" x14ac:dyDescent="0.25">
      <c r="B12420" s="1"/>
    </row>
    <row r="12421" spans="2:2" x14ac:dyDescent="0.25">
      <c r="B12421" s="1"/>
    </row>
    <row r="12422" spans="2:2" x14ac:dyDescent="0.25">
      <c r="B12422" s="1"/>
    </row>
    <row r="12423" spans="2:2" x14ac:dyDescent="0.25">
      <c r="B12423" s="1"/>
    </row>
    <row r="12424" spans="2:2" x14ac:dyDescent="0.25">
      <c r="B12424" s="1"/>
    </row>
    <row r="12425" spans="2:2" x14ac:dyDescent="0.25">
      <c r="B12425" s="1"/>
    </row>
    <row r="12426" spans="2:2" x14ac:dyDescent="0.25">
      <c r="B12426" s="1"/>
    </row>
    <row r="12427" spans="2:2" x14ac:dyDescent="0.25">
      <c r="B12427" s="1"/>
    </row>
    <row r="12428" spans="2:2" x14ac:dyDescent="0.25">
      <c r="B12428" s="1"/>
    </row>
    <row r="12429" spans="2:2" x14ac:dyDescent="0.25">
      <c r="B12429" s="1"/>
    </row>
    <row r="12430" spans="2:2" x14ac:dyDescent="0.25">
      <c r="B12430" s="1"/>
    </row>
    <row r="12431" spans="2:2" x14ac:dyDescent="0.25">
      <c r="B12431" s="1"/>
    </row>
    <row r="12432" spans="2:2" x14ac:dyDescent="0.25">
      <c r="B12432" s="1"/>
    </row>
    <row r="12433" spans="2:2" x14ac:dyDescent="0.25">
      <c r="B12433" s="1"/>
    </row>
    <row r="12434" spans="2:2" x14ac:dyDescent="0.25">
      <c r="B12434" s="1"/>
    </row>
    <row r="12435" spans="2:2" x14ac:dyDescent="0.25">
      <c r="B12435" s="1"/>
    </row>
    <row r="12436" spans="2:2" x14ac:dyDescent="0.25">
      <c r="B12436" s="1"/>
    </row>
    <row r="12437" spans="2:2" x14ac:dyDescent="0.25">
      <c r="B12437" s="1"/>
    </row>
    <row r="12438" spans="2:2" x14ac:dyDescent="0.25">
      <c r="B12438" s="1"/>
    </row>
    <row r="12439" spans="2:2" x14ac:dyDescent="0.25">
      <c r="B12439" s="1"/>
    </row>
    <row r="12440" spans="2:2" x14ac:dyDescent="0.25">
      <c r="B12440" s="1"/>
    </row>
    <row r="12441" spans="2:2" x14ac:dyDescent="0.25">
      <c r="B12441" s="1"/>
    </row>
    <row r="12442" spans="2:2" x14ac:dyDescent="0.25">
      <c r="B12442" s="1"/>
    </row>
    <row r="12443" spans="2:2" x14ac:dyDescent="0.25">
      <c r="B12443" s="1"/>
    </row>
    <row r="12444" spans="2:2" x14ac:dyDescent="0.25">
      <c r="B12444" s="1"/>
    </row>
    <row r="12445" spans="2:2" x14ac:dyDescent="0.25">
      <c r="B12445" s="1"/>
    </row>
    <row r="12446" spans="2:2" x14ac:dyDescent="0.25">
      <c r="B12446" s="1"/>
    </row>
    <row r="12447" spans="2:2" x14ac:dyDescent="0.25">
      <c r="B12447" s="1"/>
    </row>
    <row r="12448" spans="2:2" x14ac:dyDescent="0.25">
      <c r="B12448" s="1"/>
    </row>
    <row r="12449" spans="2:2" x14ac:dyDescent="0.25">
      <c r="B12449" s="1"/>
    </row>
    <row r="12450" spans="2:2" x14ac:dyDescent="0.25">
      <c r="B12450" s="1"/>
    </row>
    <row r="12451" spans="2:2" x14ac:dyDescent="0.25">
      <c r="B12451" s="1"/>
    </row>
    <row r="12452" spans="2:2" x14ac:dyDescent="0.25">
      <c r="B12452" s="1"/>
    </row>
    <row r="12453" spans="2:2" x14ac:dyDescent="0.25">
      <c r="B12453" s="1"/>
    </row>
    <row r="12454" spans="2:2" x14ac:dyDescent="0.25">
      <c r="B12454" s="1"/>
    </row>
    <row r="12455" spans="2:2" x14ac:dyDescent="0.25">
      <c r="B12455" s="1"/>
    </row>
    <row r="12456" spans="2:2" x14ac:dyDescent="0.25">
      <c r="B12456" s="1"/>
    </row>
    <row r="12457" spans="2:2" x14ac:dyDescent="0.25">
      <c r="B12457" s="1"/>
    </row>
    <row r="12458" spans="2:2" x14ac:dyDescent="0.25">
      <c r="B12458" s="1"/>
    </row>
    <row r="12459" spans="2:2" x14ac:dyDescent="0.25">
      <c r="B12459" s="1"/>
    </row>
    <row r="12460" spans="2:2" x14ac:dyDescent="0.25">
      <c r="B12460" s="1"/>
    </row>
    <row r="12461" spans="2:2" x14ac:dyDescent="0.25">
      <c r="B12461" s="1"/>
    </row>
    <row r="12462" spans="2:2" x14ac:dyDescent="0.25">
      <c r="B12462" s="1"/>
    </row>
    <row r="12463" spans="2:2" x14ac:dyDescent="0.25">
      <c r="B12463" s="1"/>
    </row>
    <row r="12464" spans="2:2" x14ac:dyDescent="0.25">
      <c r="B12464" s="1"/>
    </row>
    <row r="12465" spans="2:2" x14ac:dyDescent="0.25">
      <c r="B12465" s="1"/>
    </row>
    <row r="12466" spans="2:2" x14ac:dyDescent="0.25">
      <c r="B12466" s="1"/>
    </row>
    <row r="12467" spans="2:2" x14ac:dyDescent="0.25">
      <c r="B12467" s="1"/>
    </row>
    <row r="12468" spans="2:2" x14ac:dyDescent="0.25">
      <c r="B12468" s="1"/>
    </row>
    <row r="12469" spans="2:2" x14ac:dyDescent="0.25">
      <c r="B12469" s="1"/>
    </row>
    <row r="12470" spans="2:2" x14ac:dyDescent="0.25">
      <c r="B12470" s="1"/>
    </row>
    <row r="12471" spans="2:2" x14ac:dyDescent="0.25">
      <c r="B12471" s="1"/>
    </row>
    <row r="12472" spans="2:2" x14ac:dyDescent="0.25">
      <c r="B12472" s="1"/>
    </row>
    <row r="12473" spans="2:2" x14ac:dyDescent="0.25">
      <c r="B12473" s="1"/>
    </row>
    <row r="12474" spans="2:2" x14ac:dyDescent="0.25">
      <c r="B12474" s="1"/>
    </row>
    <row r="12475" spans="2:2" x14ac:dyDescent="0.25">
      <c r="B12475" s="1"/>
    </row>
    <row r="12476" spans="2:2" x14ac:dyDescent="0.25">
      <c r="B12476" s="1"/>
    </row>
    <row r="12477" spans="2:2" x14ac:dyDescent="0.25">
      <c r="B12477" s="1"/>
    </row>
    <row r="12478" spans="2:2" x14ac:dyDescent="0.25">
      <c r="B12478" s="1"/>
    </row>
    <row r="12479" spans="2:2" x14ac:dyDescent="0.25">
      <c r="B12479" s="1"/>
    </row>
    <row r="12480" spans="2:2" x14ac:dyDescent="0.25">
      <c r="B12480" s="1"/>
    </row>
    <row r="12481" spans="2:2" x14ac:dyDescent="0.25">
      <c r="B12481" s="1"/>
    </row>
    <row r="12482" spans="2:2" x14ac:dyDescent="0.25">
      <c r="B12482" s="1"/>
    </row>
    <row r="12483" spans="2:2" x14ac:dyDescent="0.25">
      <c r="B12483" s="1"/>
    </row>
    <row r="12484" spans="2:2" x14ac:dyDescent="0.25">
      <c r="B12484" s="1"/>
    </row>
    <row r="12485" spans="2:2" x14ac:dyDescent="0.25">
      <c r="B12485" s="1"/>
    </row>
    <row r="12486" spans="2:2" x14ac:dyDescent="0.25">
      <c r="B12486" s="1"/>
    </row>
    <row r="12487" spans="2:2" x14ac:dyDescent="0.25">
      <c r="B12487" s="1"/>
    </row>
    <row r="12488" spans="2:2" x14ac:dyDescent="0.25">
      <c r="B12488" s="1"/>
    </row>
    <row r="12489" spans="2:2" x14ac:dyDescent="0.25">
      <c r="B12489" s="1"/>
    </row>
    <row r="12490" spans="2:2" x14ac:dyDescent="0.25">
      <c r="B12490" s="1"/>
    </row>
    <row r="12491" spans="2:2" x14ac:dyDescent="0.25">
      <c r="B12491" s="1"/>
    </row>
    <row r="12492" spans="2:2" x14ac:dyDescent="0.25">
      <c r="B12492" s="1"/>
    </row>
    <row r="12493" spans="2:2" x14ac:dyDescent="0.25">
      <c r="B12493" s="1"/>
    </row>
    <row r="12494" spans="2:2" x14ac:dyDescent="0.25">
      <c r="B12494" s="1"/>
    </row>
    <row r="12495" spans="2:2" x14ac:dyDescent="0.25">
      <c r="B12495" s="1"/>
    </row>
    <row r="12496" spans="2:2" x14ac:dyDescent="0.25">
      <c r="B12496" s="1"/>
    </row>
    <row r="12497" spans="2:2" x14ac:dyDescent="0.25">
      <c r="B12497" s="1"/>
    </row>
    <row r="12498" spans="2:2" x14ac:dyDescent="0.25">
      <c r="B12498" s="1"/>
    </row>
    <row r="12499" spans="2:2" x14ac:dyDescent="0.25">
      <c r="B12499" s="1"/>
    </row>
    <row r="12500" spans="2:2" x14ac:dyDescent="0.25">
      <c r="B12500" s="1"/>
    </row>
    <row r="12501" spans="2:2" x14ac:dyDescent="0.25">
      <c r="B12501" s="1"/>
    </row>
    <row r="12502" spans="2:2" x14ac:dyDescent="0.25">
      <c r="B12502" s="1"/>
    </row>
    <row r="12503" spans="2:2" x14ac:dyDescent="0.25">
      <c r="B12503" s="1"/>
    </row>
    <row r="12504" spans="2:2" x14ac:dyDescent="0.25">
      <c r="B12504" s="1"/>
    </row>
    <row r="12505" spans="2:2" x14ac:dyDescent="0.25">
      <c r="B12505" s="1"/>
    </row>
    <row r="12506" spans="2:2" x14ac:dyDescent="0.25">
      <c r="B12506" s="1"/>
    </row>
    <row r="12507" spans="2:2" x14ac:dyDescent="0.25">
      <c r="B12507" s="1"/>
    </row>
    <row r="12508" spans="2:2" x14ac:dyDescent="0.25">
      <c r="B12508" s="1"/>
    </row>
    <row r="12509" spans="2:2" x14ac:dyDescent="0.25">
      <c r="B12509" s="1"/>
    </row>
    <row r="12510" spans="2:2" x14ac:dyDescent="0.25">
      <c r="B12510" s="1"/>
    </row>
    <row r="12511" spans="2:2" x14ac:dyDescent="0.25">
      <c r="B12511" s="1"/>
    </row>
    <row r="12512" spans="2:2" x14ac:dyDescent="0.25">
      <c r="B12512" s="1"/>
    </row>
    <row r="12513" spans="2:2" x14ac:dyDescent="0.25">
      <c r="B12513" s="1"/>
    </row>
    <row r="12514" spans="2:2" x14ac:dyDescent="0.25">
      <c r="B12514" s="1"/>
    </row>
    <row r="12515" spans="2:2" x14ac:dyDescent="0.25">
      <c r="B12515" s="1"/>
    </row>
    <row r="12516" spans="2:2" x14ac:dyDescent="0.25">
      <c r="B12516" s="1"/>
    </row>
    <row r="12517" spans="2:2" x14ac:dyDescent="0.25">
      <c r="B12517" s="1"/>
    </row>
    <row r="12518" spans="2:2" x14ac:dyDescent="0.25">
      <c r="B12518" s="1"/>
    </row>
    <row r="12519" spans="2:2" x14ac:dyDescent="0.25">
      <c r="B12519" s="1"/>
    </row>
    <row r="12520" spans="2:2" x14ac:dyDescent="0.25">
      <c r="B12520" s="1"/>
    </row>
    <row r="12521" spans="2:2" x14ac:dyDescent="0.25">
      <c r="B12521" s="1"/>
    </row>
    <row r="12522" spans="2:2" x14ac:dyDescent="0.25">
      <c r="B12522" s="1"/>
    </row>
    <row r="12523" spans="2:2" x14ac:dyDescent="0.25">
      <c r="B12523" s="1"/>
    </row>
    <row r="12524" spans="2:2" x14ac:dyDescent="0.25">
      <c r="B12524" s="1"/>
    </row>
    <row r="12525" spans="2:2" x14ac:dyDescent="0.25">
      <c r="B12525" s="1"/>
    </row>
    <row r="12526" spans="2:2" x14ac:dyDescent="0.25">
      <c r="B12526" s="1"/>
    </row>
    <row r="12527" spans="2:2" x14ac:dyDescent="0.25">
      <c r="B12527" s="1"/>
    </row>
    <row r="12528" spans="2:2" x14ac:dyDescent="0.25">
      <c r="B12528" s="1"/>
    </row>
    <row r="12529" spans="2:2" x14ac:dyDescent="0.25">
      <c r="B12529" s="1"/>
    </row>
    <row r="12530" spans="2:2" x14ac:dyDescent="0.25">
      <c r="B12530" s="1"/>
    </row>
    <row r="12531" spans="2:2" x14ac:dyDescent="0.25">
      <c r="B12531" s="1"/>
    </row>
    <row r="12532" spans="2:2" x14ac:dyDescent="0.25">
      <c r="B12532" s="1"/>
    </row>
    <row r="12533" spans="2:2" x14ac:dyDescent="0.25">
      <c r="B12533" s="1"/>
    </row>
    <row r="12534" spans="2:2" x14ac:dyDescent="0.25">
      <c r="B12534" s="1"/>
    </row>
    <row r="12535" spans="2:2" x14ac:dyDescent="0.25">
      <c r="B12535" s="1"/>
    </row>
    <row r="12536" spans="2:2" x14ac:dyDescent="0.25">
      <c r="B12536" s="1"/>
    </row>
    <row r="12537" spans="2:2" x14ac:dyDescent="0.25">
      <c r="B12537" s="1"/>
    </row>
    <row r="12538" spans="2:2" x14ac:dyDescent="0.25">
      <c r="B12538" s="1"/>
    </row>
    <row r="12539" spans="2:2" x14ac:dyDescent="0.25">
      <c r="B12539" s="1"/>
    </row>
    <row r="12540" spans="2:2" x14ac:dyDescent="0.25">
      <c r="B12540" s="1"/>
    </row>
    <row r="12541" spans="2:2" x14ac:dyDescent="0.25">
      <c r="B12541" s="1"/>
    </row>
    <row r="12542" spans="2:2" x14ac:dyDescent="0.25">
      <c r="B12542" s="1"/>
    </row>
    <row r="12543" spans="2:2" x14ac:dyDescent="0.25">
      <c r="B12543" s="1"/>
    </row>
    <row r="12544" spans="2:2" x14ac:dyDescent="0.25">
      <c r="B12544" s="1"/>
    </row>
    <row r="12545" spans="2:2" x14ac:dyDescent="0.25">
      <c r="B12545" s="1"/>
    </row>
    <row r="12546" spans="2:2" x14ac:dyDescent="0.25">
      <c r="B12546" s="1"/>
    </row>
    <row r="12547" spans="2:2" x14ac:dyDescent="0.25">
      <c r="B12547" s="1"/>
    </row>
    <row r="12548" spans="2:2" x14ac:dyDescent="0.25">
      <c r="B12548" s="1"/>
    </row>
    <row r="12549" spans="2:2" x14ac:dyDescent="0.25">
      <c r="B12549" s="1"/>
    </row>
    <row r="12550" spans="2:2" x14ac:dyDescent="0.25">
      <c r="B12550" s="1"/>
    </row>
    <row r="12551" spans="2:2" x14ac:dyDescent="0.25">
      <c r="B12551" s="1"/>
    </row>
    <row r="12552" spans="2:2" x14ac:dyDescent="0.25">
      <c r="B12552" s="1"/>
    </row>
    <row r="12553" spans="2:2" x14ac:dyDescent="0.25">
      <c r="B12553" s="1"/>
    </row>
    <row r="12554" spans="2:2" x14ac:dyDescent="0.25">
      <c r="B12554" s="1"/>
    </row>
    <row r="12555" spans="2:2" x14ac:dyDescent="0.25">
      <c r="B12555" s="1"/>
    </row>
    <row r="12556" spans="2:2" x14ac:dyDescent="0.25">
      <c r="B12556" s="1"/>
    </row>
    <row r="12557" spans="2:2" x14ac:dyDescent="0.25">
      <c r="B12557" s="1"/>
    </row>
    <row r="12558" spans="2:2" x14ac:dyDescent="0.25">
      <c r="B12558" s="1"/>
    </row>
    <row r="12559" spans="2:2" x14ac:dyDescent="0.25">
      <c r="B12559" s="1"/>
    </row>
    <row r="12560" spans="2:2" x14ac:dyDescent="0.25">
      <c r="B12560" s="1"/>
    </row>
    <row r="12561" spans="2:2" x14ac:dyDescent="0.25">
      <c r="B12561" s="1"/>
    </row>
    <row r="12562" spans="2:2" x14ac:dyDescent="0.25">
      <c r="B12562" s="1"/>
    </row>
    <row r="12563" spans="2:2" x14ac:dyDescent="0.25">
      <c r="B12563" s="1"/>
    </row>
    <row r="12564" spans="2:2" x14ac:dyDescent="0.25">
      <c r="B12564" s="1"/>
    </row>
    <row r="12565" spans="2:2" x14ac:dyDescent="0.25">
      <c r="B12565" s="1"/>
    </row>
    <row r="12566" spans="2:2" x14ac:dyDescent="0.25">
      <c r="B12566" s="1"/>
    </row>
    <row r="12567" spans="2:2" x14ac:dyDescent="0.25">
      <c r="B12567" s="1"/>
    </row>
    <row r="12568" spans="2:2" x14ac:dyDescent="0.25">
      <c r="B12568" s="1"/>
    </row>
    <row r="12569" spans="2:2" x14ac:dyDescent="0.25">
      <c r="B12569" s="1"/>
    </row>
    <row r="12570" spans="2:2" x14ac:dyDescent="0.25">
      <c r="B12570" s="1"/>
    </row>
    <row r="12571" spans="2:2" x14ac:dyDescent="0.25">
      <c r="B12571" s="1"/>
    </row>
    <row r="12572" spans="2:2" x14ac:dyDescent="0.25">
      <c r="B12572" s="1"/>
    </row>
    <row r="12573" spans="2:2" x14ac:dyDescent="0.25">
      <c r="B12573" s="1"/>
    </row>
    <row r="12574" spans="2:2" x14ac:dyDescent="0.25">
      <c r="B12574" s="1"/>
    </row>
    <row r="12575" spans="2:2" x14ac:dyDescent="0.25">
      <c r="B12575" s="1"/>
    </row>
    <row r="12576" spans="2:2" x14ac:dyDescent="0.25">
      <c r="B12576" s="1"/>
    </row>
    <row r="12577" spans="2:2" x14ac:dyDescent="0.25">
      <c r="B12577" s="1"/>
    </row>
    <row r="12578" spans="2:2" x14ac:dyDescent="0.25">
      <c r="B12578" s="1"/>
    </row>
    <row r="12579" spans="2:2" x14ac:dyDescent="0.25">
      <c r="B12579" s="1"/>
    </row>
    <row r="12580" spans="2:2" x14ac:dyDescent="0.25">
      <c r="B12580" s="1"/>
    </row>
    <row r="12581" spans="2:2" x14ac:dyDescent="0.25">
      <c r="B12581" s="1"/>
    </row>
    <row r="12582" spans="2:2" x14ac:dyDescent="0.25">
      <c r="B12582" s="1"/>
    </row>
    <row r="12583" spans="2:2" x14ac:dyDescent="0.25">
      <c r="B12583" s="1"/>
    </row>
    <row r="12584" spans="2:2" x14ac:dyDescent="0.25">
      <c r="B12584" s="1"/>
    </row>
    <row r="12585" spans="2:2" x14ac:dyDescent="0.25">
      <c r="B12585" s="1"/>
    </row>
    <row r="12586" spans="2:2" x14ac:dyDescent="0.25">
      <c r="B12586" s="1"/>
    </row>
    <row r="12587" spans="2:2" x14ac:dyDescent="0.25">
      <c r="B12587" s="1"/>
    </row>
    <row r="12588" spans="2:2" x14ac:dyDescent="0.25">
      <c r="B12588" s="1"/>
    </row>
    <row r="12589" spans="2:2" x14ac:dyDescent="0.25">
      <c r="B12589" s="1"/>
    </row>
    <row r="12590" spans="2:2" x14ac:dyDescent="0.25">
      <c r="B12590" s="1"/>
    </row>
    <row r="12591" spans="2:2" x14ac:dyDescent="0.25">
      <c r="B12591" s="1"/>
    </row>
    <row r="12592" spans="2:2" x14ac:dyDescent="0.25">
      <c r="B12592" s="1"/>
    </row>
    <row r="12593" spans="2:2" x14ac:dyDescent="0.25">
      <c r="B12593" s="1"/>
    </row>
    <row r="12594" spans="2:2" x14ac:dyDescent="0.25">
      <c r="B12594" s="1"/>
    </row>
    <row r="12595" spans="2:2" x14ac:dyDescent="0.25">
      <c r="B12595" s="1"/>
    </row>
    <row r="12596" spans="2:2" x14ac:dyDescent="0.25">
      <c r="B12596" s="1"/>
    </row>
    <row r="12597" spans="2:2" x14ac:dyDescent="0.25">
      <c r="B12597" s="1"/>
    </row>
    <row r="12598" spans="2:2" x14ac:dyDescent="0.25">
      <c r="B12598" s="1"/>
    </row>
    <row r="12599" spans="2:2" x14ac:dyDescent="0.25">
      <c r="B12599" s="1"/>
    </row>
    <row r="12600" spans="2:2" x14ac:dyDescent="0.25">
      <c r="B12600" s="1"/>
    </row>
    <row r="12601" spans="2:2" x14ac:dyDescent="0.25">
      <c r="B12601" s="1"/>
    </row>
    <row r="12602" spans="2:2" x14ac:dyDescent="0.25">
      <c r="B12602" s="1"/>
    </row>
    <row r="12603" spans="2:2" x14ac:dyDescent="0.25">
      <c r="B12603" s="1"/>
    </row>
    <row r="12604" spans="2:2" x14ac:dyDescent="0.25">
      <c r="B12604" s="1"/>
    </row>
    <row r="12605" spans="2:2" x14ac:dyDescent="0.25">
      <c r="B12605" s="1"/>
    </row>
    <row r="12606" spans="2:2" x14ac:dyDescent="0.25">
      <c r="B12606" s="1"/>
    </row>
    <row r="12607" spans="2:2" x14ac:dyDescent="0.25">
      <c r="B12607" s="1"/>
    </row>
    <row r="12608" spans="2:2" x14ac:dyDescent="0.25">
      <c r="B12608" s="1"/>
    </row>
    <row r="12609" spans="2:2" x14ac:dyDescent="0.25">
      <c r="B12609" s="1"/>
    </row>
    <row r="12610" spans="2:2" x14ac:dyDescent="0.25">
      <c r="B12610" s="1"/>
    </row>
    <row r="12611" spans="2:2" x14ac:dyDescent="0.25">
      <c r="B12611" s="1"/>
    </row>
    <row r="12612" spans="2:2" x14ac:dyDescent="0.25">
      <c r="B12612" s="1"/>
    </row>
    <row r="12613" spans="2:2" x14ac:dyDescent="0.25">
      <c r="B12613" s="1"/>
    </row>
    <row r="12614" spans="2:2" x14ac:dyDescent="0.25">
      <c r="B12614" s="1"/>
    </row>
    <row r="12615" spans="2:2" x14ac:dyDescent="0.25">
      <c r="B12615" s="1"/>
    </row>
    <row r="12616" spans="2:2" x14ac:dyDescent="0.25">
      <c r="B12616" s="1"/>
    </row>
    <row r="12617" spans="2:2" x14ac:dyDescent="0.25">
      <c r="B12617" s="1"/>
    </row>
    <row r="12618" spans="2:2" x14ac:dyDescent="0.25">
      <c r="B12618" s="1"/>
    </row>
    <row r="12619" spans="2:2" x14ac:dyDescent="0.25">
      <c r="B12619" s="1"/>
    </row>
    <row r="12620" spans="2:2" x14ac:dyDescent="0.25">
      <c r="B12620" s="1"/>
    </row>
    <row r="12621" spans="2:2" x14ac:dyDescent="0.25">
      <c r="B12621" s="1"/>
    </row>
    <row r="12622" spans="2:2" x14ac:dyDescent="0.25">
      <c r="B12622" s="1"/>
    </row>
    <row r="12623" spans="2:2" x14ac:dyDescent="0.25">
      <c r="B12623" s="1"/>
    </row>
    <row r="12624" spans="2:2" x14ac:dyDescent="0.25">
      <c r="B12624" s="1"/>
    </row>
    <row r="12625" spans="2:2" x14ac:dyDescent="0.25">
      <c r="B12625" s="1"/>
    </row>
    <row r="12626" spans="2:2" x14ac:dyDescent="0.25">
      <c r="B12626" s="1"/>
    </row>
    <row r="12627" spans="2:2" x14ac:dyDescent="0.25">
      <c r="B12627" s="1"/>
    </row>
    <row r="12628" spans="2:2" x14ac:dyDescent="0.25">
      <c r="B12628" s="1"/>
    </row>
    <row r="12629" spans="2:2" x14ac:dyDescent="0.25">
      <c r="B12629" s="1"/>
    </row>
    <row r="12630" spans="2:2" x14ac:dyDescent="0.25">
      <c r="B12630" s="1"/>
    </row>
    <row r="12631" spans="2:2" x14ac:dyDescent="0.25">
      <c r="B12631" s="1"/>
    </row>
    <row r="12632" spans="2:2" x14ac:dyDescent="0.25">
      <c r="B12632" s="1"/>
    </row>
    <row r="12633" spans="2:2" x14ac:dyDescent="0.25">
      <c r="B12633" s="1"/>
    </row>
    <row r="12634" spans="2:2" x14ac:dyDescent="0.25">
      <c r="B12634" s="1"/>
    </row>
    <row r="12635" spans="2:2" x14ac:dyDescent="0.25">
      <c r="B12635" s="1"/>
    </row>
    <row r="12636" spans="2:2" x14ac:dyDescent="0.25">
      <c r="B12636" s="1"/>
    </row>
    <row r="12637" spans="2:2" x14ac:dyDescent="0.25">
      <c r="B12637" s="1"/>
    </row>
    <row r="12638" spans="2:2" x14ac:dyDescent="0.25">
      <c r="B12638" s="1"/>
    </row>
    <row r="12639" spans="2:2" x14ac:dyDescent="0.25">
      <c r="B12639" s="1"/>
    </row>
    <row r="12640" spans="2:2" x14ac:dyDescent="0.25">
      <c r="B12640" s="1"/>
    </row>
    <row r="12641" spans="2:2" x14ac:dyDescent="0.25">
      <c r="B12641" s="1"/>
    </row>
    <row r="12642" spans="2:2" x14ac:dyDescent="0.25">
      <c r="B12642" s="1"/>
    </row>
    <row r="12643" spans="2:2" x14ac:dyDescent="0.25">
      <c r="B12643" s="1"/>
    </row>
    <row r="12644" spans="2:2" x14ac:dyDescent="0.25">
      <c r="B12644" s="1"/>
    </row>
    <row r="12645" spans="2:2" x14ac:dyDescent="0.25">
      <c r="B12645" s="1"/>
    </row>
    <row r="12646" spans="2:2" x14ac:dyDescent="0.25">
      <c r="B12646" s="1"/>
    </row>
    <row r="12647" spans="2:2" x14ac:dyDescent="0.25">
      <c r="B12647" s="1"/>
    </row>
    <row r="12648" spans="2:2" x14ac:dyDescent="0.25">
      <c r="B12648" s="1"/>
    </row>
    <row r="12649" spans="2:2" x14ac:dyDescent="0.25">
      <c r="B12649" s="1"/>
    </row>
    <row r="12650" spans="2:2" x14ac:dyDescent="0.25">
      <c r="B12650" s="1"/>
    </row>
    <row r="12651" spans="2:2" x14ac:dyDescent="0.25">
      <c r="B12651" s="1"/>
    </row>
    <row r="12652" spans="2:2" x14ac:dyDescent="0.25">
      <c r="B12652" s="1"/>
    </row>
    <row r="12653" spans="2:2" x14ac:dyDescent="0.25">
      <c r="B12653" s="1"/>
    </row>
    <row r="12654" spans="2:2" x14ac:dyDescent="0.25">
      <c r="B12654" s="1"/>
    </row>
    <row r="12655" spans="2:2" x14ac:dyDescent="0.25">
      <c r="B12655" s="1"/>
    </row>
    <row r="12656" spans="2:2" x14ac:dyDescent="0.25">
      <c r="B12656" s="1"/>
    </row>
    <row r="12657" spans="2:2" x14ac:dyDescent="0.25">
      <c r="B12657" s="1"/>
    </row>
    <row r="12658" spans="2:2" x14ac:dyDescent="0.25">
      <c r="B12658" s="1"/>
    </row>
    <row r="12659" spans="2:2" x14ac:dyDescent="0.25">
      <c r="B12659" s="1"/>
    </row>
    <row r="12660" spans="2:2" x14ac:dyDescent="0.25">
      <c r="B12660" s="1"/>
    </row>
    <row r="12661" spans="2:2" x14ac:dyDescent="0.25">
      <c r="B12661" s="1"/>
    </row>
    <row r="12662" spans="2:2" x14ac:dyDescent="0.25">
      <c r="B12662" s="1"/>
    </row>
    <row r="12663" spans="2:2" x14ac:dyDescent="0.25">
      <c r="B12663" s="1"/>
    </row>
    <row r="12664" spans="2:2" x14ac:dyDescent="0.25">
      <c r="B12664" s="1"/>
    </row>
    <row r="12665" spans="2:2" x14ac:dyDescent="0.25">
      <c r="B12665" s="1"/>
    </row>
    <row r="12666" spans="2:2" x14ac:dyDescent="0.25">
      <c r="B12666" s="1"/>
    </row>
    <row r="12667" spans="2:2" x14ac:dyDescent="0.25">
      <c r="B12667" s="1"/>
    </row>
    <row r="12668" spans="2:2" x14ac:dyDescent="0.25">
      <c r="B12668" s="1"/>
    </row>
    <row r="12669" spans="2:2" x14ac:dyDescent="0.25">
      <c r="B12669" s="1"/>
    </row>
    <row r="12670" spans="2:2" x14ac:dyDescent="0.25">
      <c r="B12670" s="1"/>
    </row>
    <row r="12671" spans="2:2" x14ac:dyDescent="0.25">
      <c r="B12671" s="1"/>
    </row>
    <row r="12672" spans="2:2" x14ac:dyDescent="0.25">
      <c r="B12672" s="1"/>
    </row>
    <row r="12673" spans="2:2" x14ac:dyDescent="0.25">
      <c r="B12673" s="1"/>
    </row>
    <row r="12674" spans="2:2" x14ac:dyDescent="0.25">
      <c r="B12674" s="1"/>
    </row>
    <row r="12675" spans="2:2" x14ac:dyDescent="0.25">
      <c r="B12675" s="1"/>
    </row>
    <row r="12676" spans="2:2" x14ac:dyDescent="0.25">
      <c r="B12676" s="1"/>
    </row>
    <row r="12677" spans="2:2" x14ac:dyDescent="0.25">
      <c r="B12677" s="1"/>
    </row>
    <row r="12678" spans="2:2" x14ac:dyDescent="0.25">
      <c r="B12678" s="1"/>
    </row>
    <row r="12679" spans="2:2" x14ac:dyDescent="0.25">
      <c r="B12679" s="1"/>
    </row>
    <row r="12680" spans="2:2" x14ac:dyDescent="0.25">
      <c r="B12680" s="1"/>
    </row>
    <row r="12681" spans="2:2" x14ac:dyDescent="0.25">
      <c r="B12681" s="1"/>
    </row>
    <row r="12682" spans="2:2" x14ac:dyDescent="0.25">
      <c r="B12682" s="1"/>
    </row>
    <row r="12683" spans="2:2" x14ac:dyDescent="0.25">
      <c r="B12683" s="1"/>
    </row>
    <row r="12684" spans="2:2" x14ac:dyDescent="0.25">
      <c r="B12684" s="1"/>
    </row>
    <row r="12685" spans="2:2" x14ac:dyDescent="0.25">
      <c r="B12685" s="1"/>
    </row>
    <row r="12686" spans="2:2" x14ac:dyDescent="0.25">
      <c r="B12686" s="1"/>
    </row>
    <row r="12687" spans="2:2" x14ac:dyDescent="0.25">
      <c r="B12687" s="1"/>
    </row>
    <row r="12688" spans="2:2" x14ac:dyDescent="0.25">
      <c r="B12688" s="1"/>
    </row>
    <row r="12689" spans="2:2" x14ac:dyDescent="0.25">
      <c r="B12689" s="1"/>
    </row>
    <row r="12690" spans="2:2" x14ac:dyDescent="0.25">
      <c r="B12690" s="1"/>
    </row>
    <row r="12691" spans="2:2" x14ac:dyDescent="0.25">
      <c r="B12691" s="1"/>
    </row>
    <row r="12692" spans="2:2" x14ac:dyDescent="0.25">
      <c r="B12692" s="1"/>
    </row>
    <row r="12693" spans="2:2" x14ac:dyDescent="0.25">
      <c r="B12693" s="1"/>
    </row>
    <row r="12694" spans="2:2" x14ac:dyDescent="0.25">
      <c r="B12694" s="1"/>
    </row>
    <row r="12695" spans="2:2" x14ac:dyDescent="0.25">
      <c r="B12695" s="1"/>
    </row>
    <row r="12696" spans="2:2" x14ac:dyDescent="0.25">
      <c r="B12696" s="1"/>
    </row>
    <row r="12697" spans="2:2" x14ac:dyDescent="0.25">
      <c r="B12697" s="1"/>
    </row>
    <row r="12698" spans="2:2" x14ac:dyDescent="0.25">
      <c r="B12698" s="1"/>
    </row>
    <row r="12699" spans="2:2" x14ac:dyDescent="0.25">
      <c r="B12699" s="1"/>
    </row>
    <row r="12700" spans="2:2" x14ac:dyDescent="0.25">
      <c r="B12700" s="1"/>
    </row>
    <row r="12701" spans="2:2" x14ac:dyDescent="0.25">
      <c r="B12701" s="1"/>
    </row>
    <row r="12702" spans="2:2" x14ac:dyDescent="0.25">
      <c r="B12702" s="1"/>
    </row>
    <row r="12703" spans="2:2" x14ac:dyDescent="0.25">
      <c r="B12703" s="1"/>
    </row>
    <row r="12704" spans="2:2" x14ac:dyDescent="0.25">
      <c r="B12704" s="1"/>
    </row>
    <row r="12705" spans="2:2" x14ac:dyDescent="0.25">
      <c r="B12705" s="1"/>
    </row>
    <row r="12706" spans="2:2" x14ac:dyDescent="0.25">
      <c r="B12706" s="1"/>
    </row>
    <row r="12707" spans="2:2" x14ac:dyDescent="0.25">
      <c r="B12707" s="1"/>
    </row>
    <row r="12708" spans="2:2" x14ac:dyDescent="0.25">
      <c r="B12708" s="1"/>
    </row>
    <row r="12709" spans="2:2" x14ac:dyDescent="0.25">
      <c r="B12709" s="1"/>
    </row>
    <row r="12710" spans="2:2" x14ac:dyDescent="0.25">
      <c r="B12710" s="1"/>
    </row>
    <row r="12711" spans="2:2" x14ac:dyDescent="0.25">
      <c r="B12711" s="1"/>
    </row>
    <row r="12712" spans="2:2" x14ac:dyDescent="0.25">
      <c r="B12712" s="1"/>
    </row>
    <row r="12713" spans="2:2" x14ac:dyDescent="0.25">
      <c r="B12713" s="1"/>
    </row>
    <row r="12714" spans="2:2" x14ac:dyDescent="0.25">
      <c r="B12714" s="1"/>
    </row>
    <row r="12715" spans="2:2" x14ac:dyDescent="0.25">
      <c r="B12715" s="1"/>
    </row>
    <row r="12716" spans="2:2" x14ac:dyDescent="0.25">
      <c r="B12716" s="1"/>
    </row>
    <row r="12717" spans="2:2" x14ac:dyDescent="0.25">
      <c r="B12717" s="1"/>
    </row>
    <row r="12718" spans="2:2" x14ac:dyDescent="0.25">
      <c r="B12718" s="1"/>
    </row>
    <row r="12719" spans="2:2" x14ac:dyDescent="0.25">
      <c r="B12719" s="1"/>
    </row>
    <row r="12720" spans="2:2" x14ac:dyDescent="0.25">
      <c r="B12720" s="1"/>
    </row>
    <row r="12721" spans="2:2" x14ac:dyDescent="0.25">
      <c r="B12721" s="1"/>
    </row>
    <row r="12722" spans="2:2" x14ac:dyDescent="0.25">
      <c r="B12722" s="1"/>
    </row>
    <row r="12723" spans="2:2" x14ac:dyDescent="0.25">
      <c r="B12723" s="1"/>
    </row>
    <row r="12724" spans="2:2" x14ac:dyDescent="0.25">
      <c r="B12724" s="1"/>
    </row>
    <row r="12725" spans="2:2" x14ac:dyDescent="0.25">
      <c r="B12725" s="1"/>
    </row>
    <row r="12726" spans="2:2" x14ac:dyDescent="0.25">
      <c r="B12726" s="1"/>
    </row>
    <row r="12727" spans="2:2" x14ac:dyDescent="0.25">
      <c r="B12727" s="1"/>
    </row>
    <row r="12728" spans="2:2" x14ac:dyDescent="0.25">
      <c r="B12728" s="1"/>
    </row>
    <row r="12729" spans="2:2" x14ac:dyDescent="0.25">
      <c r="B12729" s="1"/>
    </row>
    <row r="12730" spans="2:2" x14ac:dyDescent="0.25">
      <c r="B12730" s="1"/>
    </row>
    <row r="12731" spans="2:2" x14ac:dyDescent="0.25">
      <c r="B12731" s="1"/>
    </row>
    <row r="12732" spans="2:2" x14ac:dyDescent="0.25">
      <c r="B12732" s="1"/>
    </row>
    <row r="12733" spans="2:2" x14ac:dyDescent="0.25">
      <c r="B12733" s="1"/>
    </row>
    <row r="12734" spans="2:2" x14ac:dyDescent="0.25">
      <c r="B12734" s="1"/>
    </row>
    <row r="12735" spans="2:2" x14ac:dyDescent="0.25">
      <c r="B12735" s="1"/>
    </row>
    <row r="12736" spans="2:2" x14ac:dyDescent="0.25">
      <c r="B12736" s="1"/>
    </row>
    <row r="12737" spans="2:2" x14ac:dyDescent="0.25">
      <c r="B12737" s="1"/>
    </row>
    <row r="12738" spans="2:2" x14ac:dyDescent="0.25">
      <c r="B12738" s="1"/>
    </row>
    <row r="12739" spans="2:2" x14ac:dyDescent="0.25">
      <c r="B12739" s="1"/>
    </row>
    <row r="12740" spans="2:2" x14ac:dyDescent="0.25">
      <c r="B12740" s="1"/>
    </row>
    <row r="12741" spans="2:2" x14ac:dyDescent="0.25">
      <c r="B12741" s="1"/>
    </row>
    <row r="12742" spans="2:2" x14ac:dyDescent="0.25">
      <c r="B12742" s="1"/>
    </row>
    <row r="12743" spans="2:2" x14ac:dyDescent="0.25">
      <c r="B12743" s="1"/>
    </row>
    <row r="12744" spans="2:2" x14ac:dyDescent="0.25">
      <c r="B12744" s="1"/>
    </row>
    <row r="12745" spans="2:2" x14ac:dyDescent="0.25">
      <c r="B12745" s="1"/>
    </row>
    <row r="12746" spans="2:2" x14ac:dyDescent="0.25">
      <c r="B12746" s="1"/>
    </row>
    <row r="12747" spans="2:2" x14ac:dyDescent="0.25">
      <c r="B12747" s="1"/>
    </row>
    <row r="12748" spans="2:2" x14ac:dyDescent="0.25">
      <c r="B12748" s="1"/>
    </row>
    <row r="12749" spans="2:2" x14ac:dyDescent="0.25">
      <c r="B12749" s="1"/>
    </row>
    <row r="12750" spans="2:2" x14ac:dyDescent="0.25">
      <c r="B12750" s="1"/>
    </row>
    <row r="12751" spans="2:2" x14ac:dyDescent="0.25">
      <c r="B12751" s="1"/>
    </row>
    <row r="12752" spans="2:2" x14ac:dyDescent="0.25">
      <c r="B12752" s="1"/>
    </row>
    <row r="12753" spans="2:2" x14ac:dyDescent="0.25">
      <c r="B12753" s="1"/>
    </row>
    <row r="12754" spans="2:2" x14ac:dyDescent="0.25">
      <c r="B12754" s="1"/>
    </row>
    <row r="12755" spans="2:2" x14ac:dyDescent="0.25">
      <c r="B12755" s="1"/>
    </row>
    <row r="12756" spans="2:2" x14ac:dyDescent="0.25">
      <c r="B12756" s="1"/>
    </row>
    <row r="12757" spans="2:2" x14ac:dyDescent="0.25">
      <c r="B12757" s="1"/>
    </row>
    <row r="12758" spans="2:2" x14ac:dyDescent="0.25">
      <c r="B12758" s="1"/>
    </row>
    <row r="12759" spans="2:2" x14ac:dyDescent="0.25">
      <c r="B12759" s="1"/>
    </row>
    <row r="12760" spans="2:2" x14ac:dyDescent="0.25">
      <c r="B12760" s="1"/>
    </row>
    <row r="12761" spans="2:2" x14ac:dyDescent="0.25">
      <c r="B12761" s="1"/>
    </row>
    <row r="12762" spans="2:2" x14ac:dyDescent="0.25">
      <c r="B12762" s="1"/>
    </row>
    <row r="12763" spans="2:2" x14ac:dyDescent="0.25">
      <c r="B12763" s="1"/>
    </row>
    <row r="12764" spans="2:2" x14ac:dyDescent="0.25">
      <c r="B12764" s="1"/>
    </row>
    <row r="12765" spans="2:2" x14ac:dyDescent="0.25">
      <c r="B12765" s="1"/>
    </row>
    <row r="12766" spans="2:2" x14ac:dyDescent="0.25">
      <c r="B12766" s="1"/>
    </row>
    <row r="12767" spans="2:2" x14ac:dyDescent="0.25">
      <c r="B12767" s="1"/>
    </row>
    <row r="12768" spans="2:2" x14ac:dyDescent="0.25">
      <c r="B12768" s="1"/>
    </row>
    <row r="12769" spans="2:2" x14ac:dyDescent="0.25">
      <c r="B12769" s="1"/>
    </row>
    <row r="12770" spans="2:2" x14ac:dyDescent="0.25">
      <c r="B12770" s="1"/>
    </row>
    <row r="12771" spans="2:2" x14ac:dyDescent="0.25">
      <c r="B12771" s="1"/>
    </row>
    <row r="12772" spans="2:2" x14ac:dyDescent="0.25">
      <c r="B12772" s="1"/>
    </row>
    <row r="12773" spans="2:2" x14ac:dyDescent="0.25">
      <c r="B12773" s="1"/>
    </row>
    <row r="12774" spans="2:2" x14ac:dyDescent="0.25">
      <c r="B12774" s="1"/>
    </row>
    <row r="12775" spans="2:2" x14ac:dyDescent="0.25">
      <c r="B12775" s="1"/>
    </row>
    <row r="12776" spans="2:2" x14ac:dyDescent="0.25">
      <c r="B12776" s="1"/>
    </row>
    <row r="12777" spans="2:2" x14ac:dyDescent="0.25">
      <c r="B12777" s="1"/>
    </row>
    <row r="12778" spans="2:2" x14ac:dyDescent="0.25">
      <c r="B12778" s="1"/>
    </row>
    <row r="12779" spans="2:2" x14ac:dyDescent="0.25">
      <c r="B12779" s="1"/>
    </row>
    <row r="12780" spans="2:2" x14ac:dyDescent="0.25">
      <c r="B12780" s="1"/>
    </row>
    <row r="12781" spans="2:2" x14ac:dyDescent="0.25">
      <c r="B12781" s="1"/>
    </row>
    <row r="12782" spans="2:2" x14ac:dyDescent="0.25">
      <c r="B12782" s="1"/>
    </row>
    <row r="12783" spans="2:2" x14ac:dyDescent="0.25">
      <c r="B12783" s="1"/>
    </row>
    <row r="12784" spans="2:2" x14ac:dyDescent="0.25">
      <c r="B12784" s="1"/>
    </row>
    <row r="12785" spans="2:2" x14ac:dyDescent="0.25">
      <c r="B12785" s="1"/>
    </row>
    <row r="12786" spans="2:2" x14ac:dyDescent="0.25">
      <c r="B12786" s="1"/>
    </row>
    <row r="12787" spans="2:2" x14ac:dyDescent="0.25">
      <c r="B12787" s="1"/>
    </row>
    <row r="12788" spans="2:2" x14ac:dyDescent="0.25">
      <c r="B12788" s="1"/>
    </row>
    <row r="12789" spans="2:2" x14ac:dyDescent="0.25">
      <c r="B12789" s="1"/>
    </row>
    <row r="12790" spans="2:2" x14ac:dyDescent="0.25">
      <c r="B12790" s="1"/>
    </row>
    <row r="12791" spans="2:2" x14ac:dyDescent="0.25">
      <c r="B12791" s="1"/>
    </row>
    <row r="12792" spans="2:2" x14ac:dyDescent="0.25">
      <c r="B12792" s="1"/>
    </row>
    <row r="12793" spans="2:2" x14ac:dyDescent="0.25">
      <c r="B12793" s="1"/>
    </row>
    <row r="12794" spans="2:2" x14ac:dyDescent="0.25">
      <c r="B12794" s="1"/>
    </row>
    <row r="12795" spans="2:2" x14ac:dyDescent="0.25">
      <c r="B12795" s="1"/>
    </row>
    <row r="12796" spans="2:2" x14ac:dyDescent="0.25">
      <c r="B12796" s="1"/>
    </row>
    <row r="12797" spans="2:2" x14ac:dyDescent="0.25">
      <c r="B12797" s="1"/>
    </row>
    <row r="12798" spans="2:2" x14ac:dyDescent="0.25">
      <c r="B12798" s="1"/>
    </row>
    <row r="12799" spans="2:2" x14ac:dyDescent="0.25">
      <c r="B12799" s="1"/>
    </row>
    <row r="12800" spans="2:2" x14ac:dyDescent="0.25">
      <c r="B12800" s="1"/>
    </row>
    <row r="12801" spans="2:2" x14ac:dyDescent="0.25">
      <c r="B12801" s="1"/>
    </row>
    <row r="12802" spans="2:2" x14ac:dyDescent="0.25">
      <c r="B12802" s="1"/>
    </row>
    <row r="12803" spans="2:2" x14ac:dyDescent="0.25">
      <c r="B12803" s="1"/>
    </row>
    <row r="12804" spans="2:2" x14ac:dyDescent="0.25">
      <c r="B12804" s="1"/>
    </row>
    <row r="12805" spans="2:2" x14ac:dyDescent="0.25">
      <c r="B12805" s="1"/>
    </row>
    <row r="12806" spans="2:2" x14ac:dyDescent="0.25">
      <c r="B12806" s="1"/>
    </row>
    <row r="12807" spans="2:2" x14ac:dyDescent="0.25">
      <c r="B12807" s="1"/>
    </row>
    <row r="12808" spans="2:2" x14ac:dyDescent="0.25">
      <c r="B12808" s="1"/>
    </row>
    <row r="12809" spans="2:2" x14ac:dyDescent="0.25">
      <c r="B12809" s="1"/>
    </row>
    <row r="12810" spans="2:2" x14ac:dyDescent="0.25">
      <c r="B12810" s="1"/>
    </row>
    <row r="12811" spans="2:2" x14ac:dyDescent="0.25">
      <c r="B12811" s="1"/>
    </row>
    <row r="12812" spans="2:2" x14ac:dyDescent="0.25">
      <c r="B12812" s="1"/>
    </row>
    <row r="12813" spans="2:2" x14ac:dyDescent="0.25">
      <c r="B12813" s="1"/>
    </row>
    <row r="12814" spans="2:2" x14ac:dyDescent="0.25">
      <c r="B12814" s="1"/>
    </row>
    <row r="12815" spans="2:2" x14ac:dyDescent="0.25">
      <c r="B12815" s="1"/>
    </row>
    <row r="12816" spans="2:2" x14ac:dyDescent="0.25">
      <c r="B12816" s="1"/>
    </row>
    <row r="12817" spans="2:2" x14ac:dyDescent="0.25">
      <c r="B12817" s="1"/>
    </row>
    <row r="12818" spans="2:2" x14ac:dyDescent="0.25">
      <c r="B12818" s="1"/>
    </row>
    <row r="12819" spans="2:2" x14ac:dyDescent="0.25">
      <c r="B12819" s="1"/>
    </row>
    <row r="12820" spans="2:2" x14ac:dyDescent="0.25">
      <c r="B12820" s="1"/>
    </row>
    <row r="12821" spans="2:2" x14ac:dyDescent="0.25">
      <c r="B12821" s="1"/>
    </row>
    <row r="12822" spans="2:2" x14ac:dyDescent="0.25">
      <c r="B12822" s="1"/>
    </row>
    <row r="12823" spans="2:2" x14ac:dyDescent="0.25">
      <c r="B12823" s="1"/>
    </row>
    <row r="12824" spans="2:2" x14ac:dyDescent="0.25">
      <c r="B12824" s="1"/>
    </row>
    <row r="12825" spans="2:2" x14ac:dyDescent="0.25">
      <c r="B12825" s="1"/>
    </row>
    <row r="12826" spans="2:2" x14ac:dyDescent="0.25">
      <c r="B12826" s="1"/>
    </row>
    <row r="12827" spans="2:2" x14ac:dyDescent="0.25">
      <c r="B12827" s="1"/>
    </row>
    <row r="12828" spans="2:2" x14ac:dyDescent="0.25">
      <c r="B12828" s="1"/>
    </row>
    <row r="12829" spans="2:2" x14ac:dyDescent="0.25">
      <c r="B12829" s="1"/>
    </row>
    <row r="12830" spans="2:2" x14ac:dyDescent="0.25">
      <c r="B12830" s="1"/>
    </row>
    <row r="12831" spans="2:2" x14ac:dyDescent="0.25">
      <c r="B12831" s="1"/>
    </row>
    <row r="12832" spans="2:2" x14ac:dyDescent="0.25">
      <c r="B12832" s="1"/>
    </row>
    <row r="12833" spans="2:2" x14ac:dyDescent="0.25">
      <c r="B12833" s="1"/>
    </row>
    <row r="12834" spans="2:2" x14ac:dyDescent="0.25">
      <c r="B12834" s="1"/>
    </row>
    <row r="12835" spans="2:2" x14ac:dyDescent="0.25">
      <c r="B12835" s="1"/>
    </row>
    <row r="12836" spans="2:2" x14ac:dyDescent="0.25">
      <c r="B12836" s="1"/>
    </row>
    <row r="12837" spans="2:2" x14ac:dyDescent="0.25">
      <c r="B12837" s="1"/>
    </row>
    <row r="12838" spans="2:2" x14ac:dyDescent="0.25">
      <c r="B12838" s="1"/>
    </row>
    <row r="12839" spans="2:2" x14ac:dyDescent="0.25">
      <c r="B12839" s="1"/>
    </row>
    <row r="12840" spans="2:2" x14ac:dyDescent="0.25">
      <c r="B12840" s="1"/>
    </row>
    <row r="12841" spans="2:2" x14ac:dyDescent="0.25">
      <c r="B12841" s="1"/>
    </row>
    <row r="12842" spans="2:2" x14ac:dyDescent="0.25">
      <c r="B12842" s="1"/>
    </row>
    <row r="12843" spans="2:2" x14ac:dyDescent="0.25">
      <c r="B12843" s="1"/>
    </row>
    <row r="12844" spans="2:2" x14ac:dyDescent="0.25">
      <c r="B12844" s="1"/>
    </row>
    <row r="12845" spans="2:2" x14ac:dyDescent="0.25">
      <c r="B12845" s="1"/>
    </row>
    <row r="12846" spans="2:2" x14ac:dyDescent="0.25">
      <c r="B12846" s="1"/>
    </row>
    <row r="12847" spans="2:2" x14ac:dyDescent="0.25">
      <c r="B12847" s="1"/>
    </row>
    <row r="12848" spans="2:2" x14ac:dyDescent="0.25">
      <c r="B12848" s="1"/>
    </row>
    <row r="12849" spans="2:2" x14ac:dyDescent="0.25">
      <c r="B12849" s="1"/>
    </row>
    <row r="12850" spans="2:2" x14ac:dyDescent="0.25">
      <c r="B12850" s="1"/>
    </row>
    <row r="12851" spans="2:2" x14ac:dyDescent="0.25">
      <c r="B12851" s="1"/>
    </row>
    <row r="12852" spans="2:2" x14ac:dyDescent="0.25">
      <c r="B12852" s="1"/>
    </row>
    <row r="12853" spans="2:2" x14ac:dyDescent="0.25">
      <c r="B12853" s="1"/>
    </row>
    <row r="12854" spans="2:2" x14ac:dyDescent="0.25">
      <c r="B12854" s="1"/>
    </row>
    <row r="12855" spans="2:2" x14ac:dyDescent="0.25">
      <c r="B12855" s="1"/>
    </row>
    <row r="12856" spans="2:2" x14ac:dyDescent="0.25">
      <c r="B12856" s="1"/>
    </row>
    <row r="12857" spans="2:2" x14ac:dyDescent="0.25">
      <c r="B12857" s="1"/>
    </row>
    <row r="12858" spans="2:2" x14ac:dyDescent="0.25">
      <c r="B12858" s="1"/>
    </row>
    <row r="12859" spans="2:2" x14ac:dyDescent="0.25">
      <c r="B12859" s="1"/>
    </row>
    <row r="12860" spans="2:2" x14ac:dyDescent="0.25">
      <c r="B12860" s="1"/>
    </row>
    <row r="12861" spans="2:2" x14ac:dyDescent="0.25">
      <c r="B12861" s="1"/>
    </row>
    <row r="12862" spans="2:2" x14ac:dyDescent="0.25">
      <c r="B12862" s="1"/>
    </row>
    <row r="12863" spans="2:2" x14ac:dyDescent="0.25">
      <c r="B12863" s="1"/>
    </row>
    <row r="12864" spans="2:2" x14ac:dyDescent="0.25">
      <c r="B12864" s="1"/>
    </row>
    <row r="12865" spans="2:2" x14ac:dyDescent="0.25">
      <c r="B12865" s="1"/>
    </row>
    <row r="12866" spans="2:2" x14ac:dyDescent="0.25">
      <c r="B12866" s="1"/>
    </row>
    <row r="12867" spans="2:2" x14ac:dyDescent="0.25">
      <c r="B12867" s="1"/>
    </row>
    <row r="12868" spans="2:2" x14ac:dyDescent="0.25">
      <c r="B12868" s="1"/>
    </row>
    <row r="12869" spans="2:2" x14ac:dyDescent="0.25">
      <c r="B12869" s="1"/>
    </row>
    <row r="12870" spans="2:2" x14ac:dyDescent="0.25">
      <c r="B12870" s="1"/>
    </row>
    <row r="12871" spans="2:2" x14ac:dyDescent="0.25">
      <c r="B12871" s="1"/>
    </row>
    <row r="12872" spans="2:2" x14ac:dyDescent="0.25">
      <c r="B12872" s="1"/>
    </row>
    <row r="12873" spans="2:2" x14ac:dyDescent="0.25">
      <c r="B12873" s="1"/>
    </row>
    <row r="12874" spans="2:2" x14ac:dyDescent="0.25">
      <c r="B12874" s="1"/>
    </row>
    <row r="12875" spans="2:2" x14ac:dyDescent="0.25">
      <c r="B12875" s="1"/>
    </row>
    <row r="12876" spans="2:2" x14ac:dyDescent="0.25">
      <c r="B12876" s="1"/>
    </row>
    <row r="12877" spans="2:2" x14ac:dyDescent="0.25">
      <c r="B12877" s="1"/>
    </row>
    <row r="12878" spans="2:2" x14ac:dyDescent="0.25">
      <c r="B12878" s="1"/>
    </row>
    <row r="12879" spans="2:2" x14ac:dyDescent="0.25">
      <c r="B12879" s="1"/>
    </row>
    <row r="12880" spans="2:2" x14ac:dyDescent="0.25">
      <c r="B12880" s="1"/>
    </row>
    <row r="12881" spans="2:2" x14ac:dyDescent="0.25">
      <c r="B12881" s="1"/>
    </row>
    <row r="12882" spans="2:2" x14ac:dyDescent="0.25">
      <c r="B12882" s="1"/>
    </row>
    <row r="12883" spans="2:2" x14ac:dyDescent="0.25">
      <c r="B12883" s="1"/>
    </row>
    <row r="12884" spans="2:2" x14ac:dyDescent="0.25">
      <c r="B12884" s="1"/>
    </row>
    <row r="12885" spans="2:2" x14ac:dyDescent="0.25">
      <c r="B12885" s="1"/>
    </row>
    <row r="12886" spans="2:2" x14ac:dyDescent="0.25">
      <c r="B12886" s="1"/>
    </row>
    <row r="12887" spans="2:2" x14ac:dyDescent="0.25">
      <c r="B12887" s="1"/>
    </row>
    <row r="12888" spans="2:2" x14ac:dyDescent="0.25">
      <c r="B12888" s="1"/>
    </row>
    <row r="12889" spans="2:2" x14ac:dyDescent="0.25">
      <c r="B12889" s="1"/>
    </row>
    <row r="12890" spans="2:2" x14ac:dyDescent="0.25">
      <c r="B12890" s="1"/>
    </row>
    <row r="12891" spans="2:2" x14ac:dyDescent="0.25">
      <c r="B12891" s="1"/>
    </row>
    <row r="12892" spans="2:2" x14ac:dyDescent="0.25">
      <c r="B12892" s="1"/>
    </row>
    <row r="12893" spans="2:2" x14ac:dyDescent="0.25">
      <c r="B12893" s="1"/>
    </row>
    <row r="12894" spans="2:2" x14ac:dyDescent="0.25">
      <c r="B12894" s="1"/>
    </row>
    <row r="12895" spans="2:2" x14ac:dyDescent="0.25">
      <c r="B12895" s="1"/>
    </row>
    <row r="12896" spans="2:2" x14ac:dyDescent="0.25">
      <c r="B12896" s="1"/>
    </row>
    <row r="12897" spans="2:2" x14ac:dyDescent="0.25">
      <c r="B12897" s="1"/>
    </row>
    <row r="12898" spans="2:2" x14ac:dyDescent="0.25">
      <c r="B12898" s="1"/>
    </row>
    <row r="12899" spans="2:2" x14ac:dyDescent="0.25">
      <c r="B12899" s="1"/>
    </row>
    <row r="12900" spans="2:2" x14ac:dyDescent="0.25">
      <c r="B12900" s="1"/>
    </row>
    <row r="12901" spans="2:2" x14ac:dyDescent="0.25">
      <c r="B12901" s="1"/>
    </row>
    <row r="12902" spans="2:2" x14ac:dyDescent="0.25">
      <c r="B12902" s="1"/>
    </row>
    <row r="12903" spans="2:2" x14ac:dyDescent="0.25">
      <c r="B12903" s="1"/>
    </row>
    <row r="12904" spans="2:2" x14ac:dyDescent="0.25">
      <c r="B12904" s="1"/>
    </row>
    <row r="12905" spans="2:2" x14ac:dyDescent="0.25">
      <c r="B12905" s="1"/>
    </row>
    <row r="12906" spans="2:2" x14ac:dyDescent="0.25">
      <c r="B12906" s="1"/>
    </row>
    <row r="12907" spans="2:2" x14ac:dyDescent="0.25">
      <c r="B12907" s="1"/>
    </row>
    <row r="12908" spans="2:2" x14ac:dyDescent="0.25">
      <c r="B12908" s="1"/>
    </row>
    <row r="12909" spans="2:2" x14ac:dyDescent="0.25">
      <c r="B12909" s="1"/>
    </row>
    <row r="12910" spans="2:2" x14ac:dyDescent="0.25">
      <c r="B12910" s="1"/>
    </row>
    <row r="12911" spans="2:2" x14ac:dyDescent="0.25">
      <c r="B12911" s="1"/>
    </row>
    <row r="12912" spans="2:2" x14ac:dyDescent="0.25">
      <c r="B12912" s="1"/>
    </row>
    <row r="12913" spans="2:2" x14ac:dyDescent="0.25">
      <c r="B12913" s="1"/>
    </row>
    <row r="12914" spans="2:2" x14ac:dyDescent="0.25">
      <c r="B12914" s="1"/>
    </row>
    <row r="12915" spans="2:2" x14ac:dyDescent="0.25">
      <c r="B12915" s="1"/>
    </row>
    <row r="12916" spans="2:2" x14ac:dyDescent="0.25">
      <c r="B12916" s="1"/>
    </row>
    <row r="12917" spans="2:2" x14ac:dyDescent="0.25">
      <c r="B12917" s="1"/>
    </row>
    <row r="12918" spans="2:2" x14ac:dyDescent="0.25">
      <c r="B12918" s="1"/>
    </row>
    <row r="12919" spans="2:2" x14ac:dyDescent="0.25">
      <c r="B12919" s="1"/>
    </row>
    <row r="12920" spans="2:2" x14ac:dyDescent="0.25">
      <c r="B12920" s="1"/>
    </row>
    <row r="12921" spans="2:2" x14ac:dyDescent="0.25">
      <c r="B12921" s="1"/>
    </row>
    <row r="12922" spans="2:2" x14ac:dyDescent="0.25">
      <c r="B12922" s="1"/>
    </row>
    <row r="12923" spans="2:2" x14ac:dyDescent="0.25">
      <c r="B12923" s="1"/>
    </row>
    <row r="12924" spans="2:2" x14ac:dyDescent="0.25">
      <c r="B12924" s="1"/>
    </row>
    <row r="12925" spans="2:2" x14ac:dyDescent="0.25">
      <c r="B12925" s="1"/>
    </row>
    <row r="12926" spans="2:2" x14ac:dyDescent="0.25">
      <c r="B12926" s="1"/>
    </row>
    <row r="12927" spans="2:2" x14ac:dyDescent="0.25">
      <c r="B12927" s="1"/>
    </row>
    <row r="12928" spans="2:2" x14ac:dyDescent="0.25">
      <c r="B12928" s="1"/>
    </row>
    <row r="12929" spans="2:2" x14ac:dyDescent="0.25">
      <c r="B12929" s="1"/>
    </row>
    <row r="12930" spans="2:2" x14ac:dyDescent="0.25">
      <c r="B12930" s="1"/>
    </row>
    <row r="12931" spans="2:2" x14ac:dyDescent="0.25">
      <c r="B12931" s="1"/>
    </row>
    <row r="12932" spans="2:2" x14ac:dyDescent="0.25">
      <c r="B12932" s="1"/>
    </row>
    <row r="12933" spans="2:2" x14ac:dyDescent="0.25">
      <c r="B12933" s="1"/>
    </row>
    <row r="12934" spans="2:2" x14ac:dyDescent="0.25">
      <c r="B12934" s="1"/>
    </row>
    <row r="12935" spans="2:2" x14ac:dyDescent="0.25">
      <c r="B12935" s="1"/>
    </row>
    <row r="12936" spans="2:2" x14ac:dyDescent="0.25">
      <c r="B12936" s="1"/>
    </row>
    <row r="12937" spans="2:2" x14ac:dyDescent="0.25">
      <c r="B12937" s="1"/>
    </row>
    <row r="12938" spans="2:2" x14ac:dyDescent="0.25">
      <c r="B12938" s="1"/>
    </row>
    <row r="12939" spans="2:2" x14ac:dyDescent="0.25">
      <c r="B12939" s="1"/>
    </row>
    <row r="12940" spans="2:2" x14ac:dyDescent="0.25">
      <c r="B12940" s="1"/>
    </row>
    <row r="12941" spans="2:2" x14ac:dyDescent="0.25">
      <c r="B12941" s="1"/>
    </row>
    <row r="12942" spans="2:2" x14ac:dyDescent="0.25">
      <c r="B12942" s="1"/>
    </row>
    <row r="12943" spans="2:2" x14ac:dyDescent="0.25">
      <c r="B12943" s="1"/>
    </row>
    <row r="12944" spans="2:2" x14ac:dyDescent="0.25">
      <c r="B12944" s="1"/>
    </row>
    <row r="12945" spans="2:2" x14ac:dyDescent="0.25">
      <c r="B12945" s="1"/>
    </row>
    <row r="12946" spans="2:2" x14ac:dyDescent="0.25">
      <c r="B12946" s="1"/>
    </row>
    <row r="12947" spans="2:2" x14ac:dyDescent="0.25">
      <c r="B12947" s="1"/>
    </row>
    <row r="12948" spans="2:2" x14ac:dyDescent="0.25">
      <c r="B12948" s="1"/>
    </row>
    <row r="12949" spans="2:2" x14ac:dyDescent="0.25">
      <c r="B12949" s="1"/>
    </row>
    <row r="12950" spans="2:2" x14ac:dyDescent="0.25">
      <c r="B12950" s="1"/>
    </row>
    <row r="12951" spans="2:2" x14ac:dyDescent="0.25">
      <c r="B12951" s="1"/>
    </row>
    <row r="12952" spans="2:2" x14ac:dyDescent="0.25">
      <c r="B12952" s="1"/>
    </row>
    <row r="12953" spans="2:2" x14ac:dyDescent="0.25">
      <c r="B12953" s="1"/>
    </row>
    <row r="12954" spans="2:2" x14ac:dyDescent="0.25">
      <c r="B12954" s="1"/>
    </row>
    <row r="12955" spans="2:2" x14ac:dyDescent="0.25">
      <c r="B12955" s="1"/>
    </row>
    <row r="12956" spans="2:2" x14ac:dyDescent="0.25">
      <c r="B12956" s="1"/>
    </row>
    <row r="12957" spans="2:2" x14ac:dyDescent="0.25">
      <c r="B12957" s="1"/>
    </row>
    <row r="12958" spans="2:2" x14ac:dyDescent="0.25">
      <c r="B12958" s="1"/>
    </row>
    <row r="12959" spans="2:2" x14ac:dyDescent="0.25">
      <c r="B12959" s="1"/>
    </row>
    <row r="12960" spans="2:2" x14ac:dyDescent="0.25">
      <c r="B12960" s="1"/>
    </row>
    <row r="12961" spans="2:2" x14ac:dyDescent="0.25">
      <c r="B12961" s="1"/>
    </row>
    <row r="12962" spans="2:2" x14ac:dyDescent="0.25">
      <c r="B12962" s="1"/>
    </row>
    <row r="12963" spans="2:2" x14ac:dyDescent="0.25">
      <c r="B12963" s="1"/>
    </row>
    <row r="12964" spans="2:2" x14ac:dyDescent="0.25">
      <c r="B12964" s="1"/>
    </row>
    <row r="12965" spans="2:2" x14ac:dyDescent="0.25">
      <c r="B12965" s="1"/>
    </row>
    <row r="12966" spans="2:2" x14ac:dyDescent="0.25">
      <c r="B12966" s="1"/>
    </row>
    <row r="12967" spans="2:2" x14ac:dyDescent="0.25">
      <c r="B12967" s="1"/>
    </row>
    <row r="12968" spans="2:2" x14ac:dyDescent="0.25">
      <c r="B12968" s="1"/>
    </row>
    <row r="12969" spans="2:2" x14ac:dyDescent="0.25">
      <c r="B12969" s="1"/>
    </row>
    <row r="12970" spans="2:2" x14ac:dyDescent="0.25">
      <c r="B12970" s="1"/>
    </row>
    <row r="12971" spans="2:2" x14ac:dyDescent="0.25">
      <c r="B12971" s="1"/>
    </row>
    <row r="12972" spans="2:2" x14ac:dyDescent="0.25">
      <c r="B12972" s="1"/>
    </row>
    <row r="12973" spans="2:2" x14ac:dyDescent="0.25">
      <c r="B12973" s="1"/>
    </row>
    <row r="12974" spans="2:2" x14ac:dyDescent="0.25">
      <c r="B12974" s="1"/>
    </row>
    <row r="12975" spans="2:2" x14ac:dyDescent="0.25">
      <c r="B12975" s="1"/>
    </row>
    <row r="12976" spans="2:2" x14ac:dyDescent="0.25">
      <c r="B12976" s="1"/>
    </row>
    <row r="12977" spans="2:2" x14ac:dyDescent="0.25">
      <c r="B12977" s="1"/>
    </row>
    <row r="12978" spans="2:2" x14ac:dyDescent="0.25">
      <c r="B12978" s="1"/>
    </row>
    <row r="12979" spans="2:2" x14ac:dyDescent="0.25">
      <c r="B12979" s="1"/>
    </row>
    <row r="12980" spans="2:2" x14ac:dyDescent="0.25">
      <c r="B12980" s="1"/>
    </row>
    <row r="12981" spans="2:2" x14ac:dyDescent="0.25">
      <c r="B12981" s="1"/>
    </row>
    <row r="12982" spans="2:2" x14ac:dyDescent="0.25">
      <c r="B12982" s="1"/>
    </row>
    <row r="12983" spans="2:2" x14ac:dyDescent="0.25">
      <c r="B12983" s="1"/>
    </row>
    <row r="12984" spans="2:2" x14ac:dyDescent="0.25">
      <c r="B12984" s="1"/>
    </row>
    <row r="12985" spans="2:2" x14ac:dyDescent="0.25">
      <c r="B12985" s="1"/>
    </row>
    <row r="12986" spans="2:2" x14ac:dyDescent="0.25">
      <c r="B12986" s="1"/>
    </row>
    <row r="12987" spans="2:2" x14ac:dyDescent="0.25">
      <c r="B12987" s="1"/>
    </row>
    <row r="12988" spans="2:2" x14ac:dyDescent="0.25">
      <c r="B12988" s="1"/>
    </row>
    <row r="12989" spans="2:2" x14ac:dyDescent="0.25">
      <c r="B12989" s="1"/>
    </row>
    <row r="12990" spans="2:2" x14ac:dyDescent="0.25">
      <c r="B12990" s="1"/>
    </row>
    <row r="12991" spans="2:2" x14ac:dyDescent="0.25">
      <c r="B12991" s="1"/>
    </row>
    <row r="12992" spans="2:2" x14ac:dyDescent="0.25">
      <c r="B12992" s="1"/>
    </row>
    <row r="12993" spans="2:2" x14ac:dyDescent="0.25">
      <c r="B12993" s="1"/>
    </row>
    <row r="12994" spans="2:2" x14ac:dyDescent="0.25">
      <c r="B12994" s="1"/>
    </row>
    <row r="12995" spans="2:2" x14ac:dyDescent="0.25">
      <c r="B12995" s="1"/>
    </row>
    <row r="12996" spans="2:2" x14ac:dyDescent="0.25">
      <c r="B12996" s="1"/>
    </row>
    <row r="12997" spans="2:2" x14ac:dyDescent="0.25">
      <c r="B12997" s="1"/>
    </row>
    <row r="12998" spans="2:2" x14ac:dyDescent="0.25">
      <c r="B12998" s="1"/>
    </row>
    <row r="12999" spans="2:2" x14ac:dyDescent="0.25">
      <c r="B12999" s="1"/>
    </row>
    <row r="13000" spans="2:2" x14ac:dyDescent="0.25">
      <c r="B13000" s="1"/>
    </row>
    <row r="13001" spans="2:2" x14ac:dyDescent="0.25">
      <c r="B13001" s="1"/>
    </row>
    <row r="13002" spans="2:2" x14ac:dyDescent="0.25">
      <c r="B13002" s="1"/>
    </row>
    <row r="13003" spans="2:2" x14ac:dyDescent="0.25">
      <c r="B13003" s="1"/>
    </row>
    <row r="13004" spans="2:2" x14ac:dyDescent="0.25">
      <c r="B13004" s="1"/>
    </row>
    <row r="13005" spans="2:2" x14ac:dyDescent="0.25">
      <c r="B13005" s="1"/>
    </row>
    <row r="13006" spans="2:2" x14ac:dyDescent="0.25">
      <c r="B13006" s="1"/>
    </row>
    <row r="13007" spans="2:2" x14ac:dyDescent="0.25">
      <c r="B13007" s="1"/>
    </row>
    <row r="13008" spans="2:2" x14ac:dyDescent="0.25">
      <c r="B13008" s="1"/>
    </row>
    <row r="13009" spans="2:2" x14ac:dyDescent="0.25">
      <c r="B13009" s="1"/>
    </row>
    <row r="13010" spans="2:2" x14ac:dyDescent="0.25">
      <c r="B13010" s="1"/>
    </row>
    <row r="13011" spans="2:2" x14ac:dyDescent="0.25">
      <c r="B13011" s="1"/>
    </row>
    <row r="13012" spans="2:2" x14ac:dyDescent="0.25">
      <c r="B13012" s="1"/>
    </row>
    <row r="13013" spans="2:2" x14ac:dyDescent="0.25">
      <c r="B13013" s="1"/>
    </row>
    <row r="13014" spans="2:2" x14ac:dyDescent="0.25">
      <c r="B13014" s="1"/>
    </row>
    <row r="13015" spans="2:2" x14ac:dyDescent="0.25">
      <c r="B13015" s="1"/>
    </row>
    <row r="13016" spans="2:2" x14ac:dyDescent="0.25">
      <c r="B13016" s="1"/>
    </row>
    <row r="13017" spans="2:2" x14ac:dyDescent="0.25">
      <c r="B13017" s="1"/>
    </row>
    <row r="13018" spans="2:2" x14ac:dyDescent="0.25">
      <c r="B13018" s="1"/>
    </row>
    <row r="13019" spans="2:2" x14ac:dyDescent="0.25">
      <c r="B13019" s="1"/>
    </row>
    <row r="13020" spans="2:2" x14ac:dyDescent="0.25">
      <c r="B13020" s="1"/>
    </row>
    <row r="13021" spans="2:2" x14ac:dyDescent="0.25">
      <c r="B13021" s="1"/>
    </row>
    <row r="13022" spans="2:2" x14ac:dyDescent="0.25">
      <c r="B13022" s="1"/>
    </row>
    <row r="13023" spans="2:2" x14ac:dyDescent="0.25">
      <c r="B13023" s="1"/>
    </row>
    <row r="13024" spans="2:2" x14ac:dyDescent="0.25">
      <c r="B13024" s="1"/>
    </row>
    <row r="13025" spans="2:2" x14ac:dyDescent="0.25">
      <c r="B13025" s="1"/>
    </row>
    <row r="13026" spans="2:2" x14ac:dyDescent="0.25">
      <c r="B13026" s="1"/>
    </row>
    <row r="13027" spans="2:2" x14ac:dyDescent="0.25">
      <c r="B13027" s="1"/>
    </row>
    <row r="13028" spans="2:2" x14ac:dyDescent="0.25">
      <c r="B13028" s="1"/>
    </row>
    <row r="13029" spans="2:2" x14ac:dyDescent="0.25">
      <c r="B13029" s="1"/>
    </row>
    <row r="13030" spans="2:2" x14ac:dyDescent="0.25">
      <c r="B13030" s="1"/>
    </row>
    <row r="13031" spans="2:2" x14ac:dyDescent="0.25">
      <c r="B13031" s="1"/>
    </row>
    <row r="13032" spans="2:2" x14ac:dyDescent="0.25">
      <c r="B13032" s="1"/>
    </row>
    <row r="13033" spans="2:2" x14ac:dyDescent="0.25">
      <c r="B13033" s="1"/>
    </row>
    <row r="13034" spans="2:2" x14ac:dyDescent="0.25">
      <c r="B13034" s="1"/>
    </row>
    <row r="13035" spans="2:2" x14ac:dyDescent="0.25">
      <c r="B13035" s="1"/>
    </row>
    <row r="13036" spans="2:2" x14ac:dyDescent="0.25">
      <c r="B13036" s="1"/>
    </row>
    <row r="13037" spans="2:2" x14ac:dyDescent="0.25">
      <c r="B13037" s="1"/>
    </row>
    <row r="13038" spans="2:2" x14ac:dyDescent="0.25">
      <c r="B13038" s="1"/>
    </row>
    <row r="13039" spans="2:2" x14ac:dyDescent="0.25">
      <c r="B13039" s="1"/>
    </row>
    <row r="13040" spans="2:2" x14ac:dyDescent="0.25">
      <c r="B13040" s="1"/>
    </row>
    <row r="13041" spans="2:2" x14ac:dyDescent="0.25">
      <c r="B13041" s="1"/>
    </row>
    <row r="13042" spans="2:2" x14ac:dyDescent="0.25">
      <c r="B13042" s="1"/>
    </row>
    <row r="13043" spans="2:2" x14ac:dyDescent="0.25">
      <c r="B13043" s="1"/>
    </row>
    <row r="13044" spans="2:2" x14ac:dyDescent="0.25">
      <c r="B13044" s="1"/>
    </row>
    <row r="13045" spans="2:2" x14ac:dyDescent="0.25">
      <c r="B13045" s="1"/>
    </row>
    <row r="13046" spans="2:2" x14ac:dyDescent="0.25">
      <c r="B13046" s="1"/>
    </row>
    <row r="13047" spans="2:2" x14ac:dyDescent="0.25">
      <c r="B13047" s="1"/>
    </row>
    <row r="13048" spans="2:2" x14ac:dyDescent="0.25">
      <c r="B13048" s="1"/>
    </row>
    <row r="13049" spans="2:2" x14ac:dyDescent="0.25">
      <c r="B13049" s="1"/>
    </row>
    <row r="13050" spans="2:2" x14ac:dyDescent="0.25">
      <c r="B13050" s="1"/>
    </row>
    <row r="13051" spans="2:2" x14ac:dyDescent="0.25">
      <c r="B13051" s="1"/>
    </row>
    <row r="13052" spans="2:2" x14ac:dyDescent="0.25">
      <c r="B13052" s="1"/>
    </row>
    <row r="13053" spans="2:2" x14ac:dyDescent="0.25">
      <c r="B13053" s="1"/>
    </row>
    <row r="13054" spans="2:2" x14ac:dyDescent="0.25">
      <c r="B13054" s="1"/>
    </row>
    <row r="13055" spans="2:2" x14ac:dyDescent="0.25">
      <c r="B13055" s="1"/>
    </row>
    <row r="13056" spans="2:2" x14ac:dyDescent="0.25">
      <c r="B13056" s="1"/>
    </row>
    <row r="13057" spans="2:2" x14ac:dyDescent="0.25">
      <c r="B13057" s="1"/>
    </row>
    <row r="13058" spans="2:2" x14ac:dyDescent="0.25">
      <c r="B13058" s="1"/>
    </row>
    <row r="13059" spans="2:2" x14ac:dyDescent="0.25">
      <c r="B13059" s="1"/>
    </row>
    <row r="13060" spans="2:2" x14ac:dyDescent="0.25">
      <c r="B13060" s="1"/>
    </row>
    <row r="13061" spans="2:2" x14ac:dyDescent="0.25">
      <c r="B13061" s="1"/>
    </row>
    <row r="13062" spans="2:2" x14ac:dyDescent="0.25">
      <c r="B13062" s="1"/>
    </row>
    <row r="13063" spans="2:2" x14ac:dyDescent="0.25">
      <c r="B13063" s="1"/>
    </row>
    <row r="13064" spans="2:2" x14ac:dyDescent="0.25">
      <c r="B13064" s="1"/>
    </row>
    <row r="13065" spans="2:2" x14ac:dyDescent="0.25">
      <c r="B13065" s="1"/>
    </row>
    <row r="13066" spans="2:2" x14ac:dyDescent="0.25">
      <c r="B13066" s="1"/>
    </row>
    <row r="13067" spans="2:2" x14ac:dyDescent="0.25">
      <c r="B13067" s="1"/>
    </row>
    <row r="13068" spans="2:2" x14ac:dyDescent="0.25">
      <c r="B13068" s="1"/>
    </row>
    <row r="13069" spans="2:2" x14ac:dyDescent="0.25">
      <c r="B13069" s="1"/>
    </row>
    <row r="13070" spans="2:2" x14ac:dyDescent="0.25">
      <c r="B13070" s="1"/>
    </row>
    <row r="13071" spans="2:2" x14ac:dyDescent="0.25">
      <c r="B13071" s="1"/>
    </row>
    <row r="13072" spans="2:2" x14ac:dyDescent="0.25">
      <c r="B13072" s="1"/>
    </row>
    <row r="13073" spans="2:2" x14ac:dyDescent="0.25">
      <c r="B13073" s="1"/>
    </row>
    <row r="13074" spans="2:2" x14ac:dyDescent="0.25">
      <c r="B13074" s="1"/>
    </row>
    <row r="13075" spans="2:2" x14ac:dyDescent="0.25">
      <c r="B13075" s="1"/>
    </row>
    <row r="13076" spans="2:2" x14ac:dyDescent="0.25">
      <c r="B13076" s="1"/>
    </row>
    <row r="13077" spans="2:2" x14ac:dyDescent="0.25">
      <c r="B13077" s="1"/>
    </row>
    <row r="13078" spans="2:2" x14ac:dyDescent="0.25">
      <c r="B13078" s="1"/>
    </row>
    <row r="13079" spans="2:2" x14ac:dyDescent="0.25">
      <c r="B13079" s="1"/>
    </row>
    <row r="13080" spans="2:2" x14ac:dyDescent="0.25">
      <c r="B13080" s="1"/>
    </row>
    <row r="13081" spans="2:2" x14ac:dyDescent="0.25">
      <c r="B13081" s="1"/>
    </row>
    <row r="13082" spans="2:2" x14ac:dyDescent="0.25">
      <c r="B13082" s="1"/>
    </row>
    <row r="13083" spans="2:2" x14ac:dyDescent="0.25">
      <c r="B13083" s="1"/>
    </row>
    <row r="13084" spans="2:2" x14ac:dyDescent="0.25">
      <c r="B13084" s="1"/>
    </row>
    <row r="13085" spans="2:2" x14ac:dyDescent="0.25">
      <c r="B13085" s="1"/>
    </row>
    <row r="13086" spans="2:2" x14ac:dyDescent="0.25">
      <c r="B13086" s="1"/>
    </row>
    <row r="13087" spans="2:2" x14ac:dyDescent="0.25">
      <c r="B13087" s="1"/>
    </row>
    <row r="13088" spans="2:2" x14ac:dyDescent="0.25">
      <c r="B13088" s="1"/>
    </row>
    <row r="13089" spans="2:2" x14ac:dyDescent="0.25">
      <c r="B13089" s="1"/>
    </row>
    <row r="13090" spans="2:2" x14ac:dyDescent="0.25">
      <c r="B13090" s="1"/>
    </row>
    <row r="13091" spans="2:2" x14ac:dyDescent="0.25">
      <c r="B13091" s="1"/>
    </row>
    <row r="13092" spans="2:2" x14ac:dyDescent="0.25">
      <c r="B13092" s="1"/>
    </row>
    <row r="13093" spans="2:2" x14ac:dyDescent="0.25">
      <c r="B13093" s="1"/>
    </row>
    <row r="13094" spans="2:2" x14ac:dyDescent="0.25">
      <c r="B13094" s="1"/>
    </row>
    <row r="13095" spans="2:2" x14ac:dyDescent="0.25">
      <c r="B13095" s="1"/>
    </row>
    <row r="13096" spans="2:2" x14ac:dyDescent="0.25">
      <c r="B13096" s="1"/>
    </row>
    <row r="13097" spans="2:2" x14ac:dyDescent="0.25">
      <c r="B13097" s="1"/>
    </row>
    <row r="13098" spans="2:2" x14ac:dyDescent="0.25">
      <c r="B13098" s="1"/>
    </row>
    <row r="13099" spans="2:2" x14ac:dyDescent="0.25">
      <c r="B13099" s="1"/>
    </row>
    <row r="13100" spans="2:2" x14ac:dyDescent="0.25">
      <c r="B13100" s="1"/>
    </row>
    <row r="13101" spans="2:2" x14ac:dyDescent="0.25">
      <c r="B13101" s="1"/>
    </row>
    <row r="13102" spans="2:2" x14ac:dyDescent="0.25">
      <c r="B13102" s="1"/>
    </row>
    <row r="13103" spans="2:2" x14ac:dyDescent="0.25">
      <c r="B13103" s="1"/>
    </row>
    <row r="13104" spans="2:2" x14ac:dyDescent="0.25">
      <c r="B13104" s="1"/>
    </row>
    <row r="13105" spans="2:2" x14ac:dyDescent="0.25">
      <c r="B13105" s="1"/>
    </row>
    <row r="13106" spans="2:2" x14ac:dyDescent="0.25">
      <c r="B13106" s="1"/>
    </row>
    <row r="13107" spans="2:2" x14ac:dyDescent="0.25">
      <c r="B13107" s="1"/>
    </row>
    <row r="13108" spans="2:2" x14ac:dyDescent="0.25">
      <c r="B13108" s="1"/>
    </row>
    <row r="13109" spans="2:2" x14ac:dyDescent="0.25">
      <c r="B13109" s="1"/>
    </row>
    <row r="13110" spans="2:2" x14ac:dyDescent="0.25">
      <c r="B13110" s="1"/>
    </row>
    <row r="13111" spans="2:2" x14ac:dyDescent="0.25">
      <c r="B13111" s="1"/>
    </row>
    <row r="13112" spans="2:2" x14ac:dyDescent="0.25">
      <c r="B13112" s="1"/>
    </row>
    <row r="13113" spans="2:2" x14ac:dyDescent="0.25">
      <c r="B13113" s="1"/>
    </row>
    <row r="13114" spans="2:2" x14ac:dyDescent="0.25">
      <c r="B13114" s="1"/>
    </row>
    <row r="13115" spans="2:2" x14ac:dyDescent="0.25">
      <c r="B13115" s="1"/>
    </row>
    <row r="13116" spans="2:2" x14ac:dyDescent="0.25">
      <c r="B13116" s="1"/>
    </row>
    <row r="13117" spans="2:2" x14ac:dyDescent="0.25">
      <c r="B13117" s="1"/>
    </row>
    <row r="13118" spans="2:2" x14ac:dyDescent="0.25">
      <c r="B13118" s="1"/>
    </row>
    <row r="13119" spans="2:2" x14ac:dyDescent="0.25">
      <c r="B13119" s="1"/>
    </row>
    <row r="13120" spans="2:2" x14ac:dyDescent="0.25">
      <c r="B13120" s="1"/>
    </row>
    <row r="13121" spans="2:2" x14ac:dyDescent="0.25">
      <c r="B13121" s="1"/>
    </row>
    <row r="13122" spans="2:2" x14ac:dyDescent="0.25">
      <c r="B13122" s="1"/>
    </row>
    <row r="13123" spans="2:2" x14ac:dyDescent="0.25">
      <c r="B13123" s="1"/>
    </row>
    <row r="13124" spans="2:2" x14ac:dyDescent="0.25">
      <c r="B13124" s="1"/>
    </row>
    <row r="13125" spans="2:2" x14ac:dyDescent="0.25">
      <c r="B13125" s="1"/>
    </row>
    <row r="13126" spans="2:2" x14ac:dyDescent="0.25">
      <c r="B13126" s="1"/>
    </row>
    <row r="13127" spans="2:2" x14ac:dyDescent="0.25">
      <c r="B13127" s="1"/>
    </row>
    <row r="13128" spans="2:2" x14ac:dyDescent="0.25">
      <c r="B13128" s="1"/>
    </row>
    <row r="13129" spans="2:2" x14ac:dyDescent="0.25">
      <c r="B13129" s="1"/>
    </row>
    <row r="13130" spans="2:2" x14ac:dyDescent="0.25">
      <c r="B13130" s="1"/>
    </row>
    <row r="13131" spans="2:2" x14ac:dyDescent="0.25">
      <c r="B13131" s="1"/>
    </row>
    <row r="13132" spans="2:2" x14ac:dyDescent="0.25">
      <c r="B13132" s="1"/>
    </row>
    <row r="13133" spans="2:2" x14ac:dyDescent="0.25">
      <c r="B13133" s="1"/>
    </row>
    <row r="13134" spans="2:2" x14ac:dyDescent="0.25">
      <c r="B13134" s="1"/>
    </row>
    <row r="13135" spans="2:2" x14ac:dyDescent="0.25">
      <c r="B13135" s="1"/>
    </row>
    <row r="13136" spans="2:2" x14ac:dyDescent="0.25">
      <c r="B13136" s="1"/>
    </row>
    <row r="13137" spans="2:2" x14ac:dyDescent="0.25">
      <c r="B13137" s="1"/>
    </row>
    <row r="13138" spans="2:2" x14ac:dyDescent="0.25">
      <c r="B13138" s="1"/>
    </row>
    <row r="13139" spans="2:2" x14ac:dyDescent="0.25">
      <c r="B13139" s="1"/>
    </row>
    <row r="13140" spans="2:2" x14ac:dyDescent="0.25">
      <c r="B13140" s="1"/>
    </row>
    <row r="13141" spans="2:2" x14ac:dyDescent="0.25">
      <c r="B13141" s="1"/>
    </row>
    <row r="13142" spans="2:2" x14ac:dyDescent="0.25">
      <c r="B13142" s="1"/>
    </row>
    <row r="13143" spans="2:2" x14ac:dyDescent="0.25">
      <c r="B13143" s="1"/>
    </row>
    <row r="13144" spans="2:2" x14ac:dyDescent="0.25">
      <c r="B13144" s="1"/>
    </row>
    <row r="13145" spans="2:2" x14ac:dyDescent="0.25">
      <c r="B13145" s="1"/>
    </row>
    <row r="13146" spans="2:2" x14ac:dyDescent="0.25">
      <c r="B13146" s="1"/>
    </row>
    <row r="13147" spans="2:2" x14ac:dyDescent="0.25">
      <c r="B13147" s="1"/>
    </row>
    <row r="13148" spans="2:2" x14ac:dyDescent="0.25">
      <c r="B13148" s="1"/>
    </row>
    <row r="13149" spans="2:2" x14ac:dyDescent="0.25">
      <c r="B13149" s="1"/>
    </row>
    <row r="13150" spans="2:2" x14ac:dyDescent="0.25">
      <c r="B13150" s="1"/>
    </row>
    <row r="13151" spans="2:2" x14ac:dyDescent="0.25">
      <c r="B13151" s="1"/>
    </row>
    <row r="13152" spans="2:2" x14ac:dyDescent="0.25">
      <c r="B13152" s="1"/>
    </row>
    <row r="13153" spans="2:2" x14ac:dyDescent="0.25">
      <c r="B13153" s="1"/>
    </row>
    <row r="13154" spans="2:2" x14ac:dyDescent="0.25">
      <c r="B13154" s="1"/>
    </row>
    <row r="13155" spans="2:2" x14ac:dyDescent="0.25">
      <c r="B13155" s="1"/>
    </row>
    <row r="13156" spans="2:2" x14ac:dyDescent="0.25">
      <c r="B13156" s="1"/>
    </row>
    <row r="13157" spans="2:2" x14ac:dyDescent="0.25">
      <c r="B13157" s="1"/>
    </row>
    <row r="13158" spans="2:2" x14ac:dyDescent="0.25">
      <c r="B13158" s="1"/>
    </row>
    <row r="13159" spans="2:2" x14ac:dyDescent="0.25">
      <c r="B13159" s="1"/>
    </row>
    <row r="13160" spans="2:2" x14ac:dyDescent="0.25">
      <c r="B13160" s="1"/>
    </row>
    <row r="13161" spans="2:2" x14ac:dyDescent="0.25">
      <c r="B13161" s="1"/>
    </row>
    <row r="13162" spans="2:2" x14ac:dyDescent="0.25">
      <c r="B13162" s="1"/>
    </row>
    <row r="13163" spans="2:2" x14ac:dyDescent="0.25">
      <c r="B13163" s="1"/>
    </row>
    <row r="13164" spans="2:2" x14ac:dyDescent="0.25">
      <c r="B13164" s="1"/>
    </row>
    <row r="13165" spans="2:2" x14ac:dyDescent="0.25">
      <c r="B13165" s="1"/>
    </row>
    <row r="13166" spans="2:2" x14ac:dyDescent="0.25">
      <c r="B13166" s="1"/>
    </row>
    <row r="13167" spans="2:2" x14ac:dyDescent="0.25">
      <c r="B13167" s="1"/>
    </row>
    <row r="13168" spans="2:2" x14ac:dyDescent="0.25">
      <c r="B13168" s="1"/>
    </row>
    <row r="13169" spans="2:2" x14ac:dyDescent="0.25">
      <c r="B13169" s="1"/>
    </row>
    <row r="13170" spans="2:2" x14ac:dyDescent="0.25">
      <c r="B13170" s="1"/>
    </row>
    <row r="13171" spans="2:2" x14ac:dyDescent="0.25">
      <c r="B13171" s="1"/>
    </row>
    <row r="13172" spans="2:2" x14ac:dyDescent="0.25">
      <c r="B13172" s="1"/>
    </row>
    <row r="13173" spans="2:2" x14ac:dyDescent="0.25">
      <c r="B13173" s="1"/>
    </row>
    <row r="13174" spans="2:2" x14ac:dyDescent="0.25">
      <c r="B13174" s="1"/>
    </row>
    <row r="13175" spans="2:2" x14ac:dyDescent="0.25">
      <c r="B13175" s="1"/>
    </row>
    <row r="13176" spans="2:2" x14ac:dyDescent="0.25">
      <c r="B13176" s="1"/>
    </row>
    <row r="13177" spans="2:2" x14ac:dyDescent="0.25">
      <c r="B13177" s="1"/>
    </row>
    <row r="13178" spans="2:2" x14ac:dyDescent="0.25">
      <c r="B13178" s="1"/>
    </row>
    <row r="13179" spans="2:2" x14ac:dyDescent="0.25">
      <c r="B13179" s="1"/>
    </row>
    <row r="13180" spans="2:2" x14ac:dyDescent="0.25">
      <c r="B13180" s="1"/>
    </row>
    <row r="13181" spans="2:2" x14ac:dyDescent="0.25">
      <c r="B13181" s="1"/>
    </row>
    <row r="13182" spans="2:2" x14ac:dyDescent="0.25">
      <c r="B13182" s="1"/>
    </row>
    <row r="13183" spans="2:2" x14ac:dyDescent="0.25">
      <c r="B13183" s="1"/>
    </row>
    <row r="13184" spans="2:2" x14ac:dyDescent="0.25">
      <c r="B13184" s="1"/>
    </row>
    <row r="13185" spans="2:2" x14ac:dyDescent="0.25">
      <c r="B13185" s="1"/>
    </row>
    <row r="13186" spans="2:2" x14ac:dyDescent="0.25">
      <c r="B13186" s="1"/>
    </row>
    <row r="13187" spans="2:2" x14ac:dyDescent="0.25">
      <c r="B13187" s="1"/>
    </row>
    <row r="13188" spans="2:2" x14ac:dyDescent="0.25">
      <c r="B13188" s="1"/>
    </row>
    <row r="13189" spans="2:2" x14ac:dyDescent="0.25">
      <c r="B13189" s="1"/>
    </row>
    <row r="13190" spans="2:2" x14ac:dyDescent="0.25">
      <c r="B13190" s="1"/>
    </row>
    <row r="13191" spans="2:2" x14ac:dyDescent="0.25">
      <c r="B13191" s="1"/>
    </row>
    <row r="13192" spans="2:2" x14ac:dyDescent="0.25">
      <c r="B13192" s="1"/>
    </row>
    <row r="13193" spans="2:2" x14ac:dyDescent="0.25">
      <c r="B13193" s="1"/>
    </row>
    <row r="13194" spans="2:2" x14ac:dyDescent="0.25">
      <c r="B13194" s="1"/>
    </row>
    <row r="13195" spans="2:2" x14ac:dyDescent="0.25">
      <c r="B13195" s="1"/>
    </row>
    <row r="13196" spans="2:2" x14ac:dyDescent="0.25">
      <c r="B13196" s="1"/>
    </row>
    <row r="13197" spans="2:2" x14ac:dyDescent="0.25">
      <c r="B13197" s="1"/>
    </row>
    <row r="13198" spans="2:2" x14ac:dyDescent="0.25">
      <c r="B13198" s="1"/>
    </row>
    <row r="13199" spans="2:2" x14ac:dyDescent="0.25">
      <c r="B13199" s="1"/>
    </row>
    <row r="13200" spans="2:2" x14ac:dyDescent="0.25">
      <c r="B13200" s="1"/>
    </row>
    <row r="13201" spans="2:2" x14ac:dyDescent="0.25">
      <c r="B13201" s="1"/>
    </row>
    <row r="13202" spans="2:2" x14ac:dyDescent="0.25">
      <c r="B13202" s="1"/>
    </row>
    <row r="13203" spans="2:2" x14ac:dyDescent="0.25">
      <c r="B13203" s="1"/>
    </row>
    <row r="13204" spans="2:2" x14ac:dyDescent="0.25">
      <c r="B13204" s="1"/>
    </row>
    <row r="13205" spans="2:2" x14ac:dyDescent="0.25">
      <c r="B13205" s="1"/>
    </row>
    <row r="13206" spans="2:2" x14ac:dyDescent="0.25">
      <c r="B13206" s="1"/>
    </row>
    <row r="13207" spans="2:2" x14ac:dyDescent="0.25">
      <c r="B13207" s="1"/>
    </row>
    <row r="13208" spans="2:2" x14ac:dyDescent="0.25">
      <c r="B13208" s="1"/>
    </row>
    <row r="13209" spans="2:2" x14ac:dyDescent="0.25">
      <c r="B13209" s="1"/>
    </row>
    <row r="13210" spans="2:2" x14ac:dyDescent="0.25">
      <c r="B13210" s="1"/>
    </row>
    <row r="13211" spans="2:2" x14ac:dyDescent="0.25">
      <c r="B13211" s="1"/>
    </row>
    <row r="13212" spans="2:2" x14ac:dyDescent="0.25">
      <c r="B13212" s="1"/>
    </row>
    <row r="13213" spans="2:2" x14ac:dyDescent="0.25">
      <c r="B13213" s="1"/>
    </row>
    <row r="13214" spans="2:2" x14ac:dyDescent="0.25">
      <c r="B13214" s="1"/>
    </row>
    <row r="13215" spans="2:2" x14ac:dyDescent="0.25">
      <c r="B13215" s="1"/>
    </row>
    <row r="13216" spans="2:2" x14ac:dyDescent="0.25">
      <c r="B13216" s="1"/>
    </row>
    <row r="13217" spans="2:2" x14ac:dyDescent="0.25">
      <c r="B13217" s="1"/>
    </row>
    <row r="13218" spans="2:2" x14ac:dyDescent="0.25">
      <c r="B13218" s="1"/>
    </row>
    <row r="13219" spans="2:2" x14ac:dyDescent="0.25">
      <c r="B13219" s="1"/>
    </row>
    <row r="13220" spans="2:2" x14ac:dyDescent="0.25">
      <c r="B13220" s="1"/>
    </row>
    <row r="13221" spans="2:2" x14ac:dyDescent="0.25">
      <c r="B13221" s="1"/>
    </row>
    <row r="13222" spans="2:2" x14ac:dyDescent="0.25">
      <c r="B13222" s="1"/>
    </row>
    <row r="13223" spans="2:2" x14ac:dyDescent="0.25">
      <c r="B13223" s="1"/>
    </row>
    <row r="13224" spans="2:2" x14ac:dyDescent="0.25">
      <c r="B13224" s="1"/>
    </row>
    <row r="13225" spans="2:2" x14ac:dyDescent="0.25">
      <c r="B13225" s="1"/>
    </row>
    <row r="13226" spans="2:2" x14ac:dyDescent="0.25">
      <c r="B13226" s="1"/>
    </row>
    <row r="13227" spans="2:2" x14ac:dyDescent="0.25">
      <c r="B13227" s="1"/>
    </row>
    <row r="13228" spans="2:2" x14ac:dyDescent="0.25">
      <c r="B13228" s="1"/>
    </row>
    <row r="13229" spans="2:2" x14ac:dyDescent="0.25">
      <c r="B13229" s="1"/>
    </row>
    <row r="13230" spans="2:2" x14ac:dyDescent="0.25">
      <c r="B13230" s="1"/>
    </row>
    <row r="13231" spans="2:2" x14ac:dyDescent="0.25">
      <c r="B13231" s="1"/>
    </row>
    <row r="13232" spans="2:2" x14ac:dyDescent="0.25">
      <c r="B13232" s="1"/>
    </row>
    <row r="13233" spans="2:2" x14ac:dyDescent="0.25">
      <c r="B13233" s="1"/>
    </row>
    <row r="13234" spans="2:2" x14ac:dyDescent="0.25">
      <c r="B13234" s="1"/>
    </row>
    <row r="13235" spans="2:2" x14ac:dyDescent="0.25">
      <c r="B13235" s="1"/>
    </row>
    <row r="13236" spans="2:2" x14ac:dyDescent="0.25">
      <c r="B13236" s="1"/>
    </row>
    <row r="13237" spans="2:2" x14ac:dyDescent="0.25">
      <c r="B13237" s="1"/>
    </row>
    <row r="13238" spans="2:2" x14ac:dyDescent="0.25">
      <c r="B13238" s="1"/>
    </row>
    <row r="13239" spans="2:2" x14ac:dyDescent="0.25">
      <c r="B13239" s="1"/>
    </row>
    <row r="13240" spans="2:2" x14ac:dyDescent="0.25">
      <c r="B13240" s="1"/>
    </row>
    <row r="13241" spans="2:2" x14ac:dyDescent="0.25">
      <c r="B13241" s="1"/>
    </row>
    <row r="13242" spans="2:2" x14ac:dyDescent="0.25">
      <c r="B13242" s="1"/>
    </row>
    <row r="13243" spans="2:2" x14ac:dyDescent="0.25">
      <c r="B13243" s="1"/>
    </row>
    <row r="13244" spans="2:2" x14ac:dyDescent="0.25">
      <c r="B13244" s="1"/>
    </row>
    <row r="13245" spans="2:2" x14ac:dyDescent="0.25">
      <c r="B13245" s="1"/>
    </row>
    <row r="13246" spans="2:2" x14ac:dyDescent="0.25">
      <c r="B13246" s="1"/>
    </row>
    <row r="13247" spans="2:2" x14ac:dyDescent="0.25">
      <c r="B13247" s="1"/>
    </row>
    <row r="13248" spans="2:2" x14ac:dyDescent="0.25">
      <c r="B13248" s="1"/>
    </row>
    <row r="13249" spans="2:2" x14ac:dyDescent="0.25">
      <c r="B13249" s="1"/>
    </row>
    <row r="13250" spans="2:2" x14ac:dyDescent="0.25">
      <c r="B13250" s="1"/>
    </row>
    <row r="13251" spans="2:2" x14ac:dyDescent="0.25">
      <c r="B13251" s="1"/>
    </row>
    <row r="13252" spans="2:2" x14ac:dyDescent="0.25">
      <c r="B13252" s="1"/>
    </row>
    <row r="13253" spans="2:2" x14ac:dyDescent="0.25">
      <c r="B13253" s="1"/>
    </row>
    <row r="13254" spans="2:2" x14ac:dyDescent="0.25">
      <c r="B13254" s="1"/>
    </row>
    <row r="13255" spans="2:2" x14ac:dyDescent="0.25">
      <c r="B13255" s="1"/>
    </row>
    <row r="13256" spans="2:2" x14ac:dyDescent="0.25">
      <c r="B13256" s="1"/>
    </row>
    <row r="13257" spans="2:2" x14ac:dyDescent="0.25">
      <c r="B13257" s="1"/>
    </row>
    <row r="13258" spans="2:2" x14ac:dyDescent="0.25">
      <c r="B13258" s="1"/>
    </row>
    <row r="13259" spans="2:2" x14ac:dyDescent="0.25">
      <c r="B13259" s="1"/>
    </row>
    <row r="13260" spans="2:2" x14ac:dyDescent="0.25">
      <c r="B13260" s="1"/>
    </row>
    <row r="13261" spans="2:2" x14ac:dyDescent="0.25">
      <c r="B13261" s="1"/>
    </row>
    <row r="13262" spans="2:2" x14ac:dyDescent="0.25">
      <c r="B13262" s="1"/>
    </row>
    <row r="13263" spans="2:2" x14ac:dyDescent="0.25">
      <c r="B13263" s="1"/>
    </row>
    <row r="13264" spans="2:2" x14ac:dyDescent="0.25">
      <c r="B13264" s="1"/>
    </row>
    <row r="13265" spans="2:2" x14ac:dyDescent="0.25">
      <c r="B13265" s="1"/>
    </row>
    <row r="13266" spans="2:2" x14ac:dyDescent="0.25">
      <c r="B13266" s="1"/>
    </row>
    <row r="13267" spans="2:2" x14ac:dyDescent="0.25">
      <c r="B13267" s="1"/>
    </row>
    <row r="13268" spans="2:2" x14ac:dyDescent="0.25">
      <c r="B13268" s="1"/>
    </row>
    <row r="13269" spans="2:2" x14ac:dyDescent="0.25">
      <c r="B13269" s="1"/>
    </row>
    <row r="13270" spans="2:2" x14ac:dyDescent="0.25">
      <c r="B13270" s="1"/>
    </row>
    <row r="13271" spans="2:2" x14ac:dyDescent="0.25">
      <c r="B13271" s="1"/>
    </row>
    <row r="13272" spans="2:2" x14ac:dyDescent="0.25">
      <c r="B13272" s="1"/>
    </row>
    <row r="13273" spans="2:2" x14ac:dyDescent="0.25">
      <c r="B13273" s="1"/>
    </row>
    <row r="13274" spans="2:2" x14ac:dyDescent="0.25">
      <c r="B13274" s="1"/>
    </row>
    <row r="13275" spans="2:2" x14ac:dyDescent="0.25">
      <c r="B13275" s="1"/>
    </row>
    <row r="13276" spans="2:2" x14ac:dyDescent="0.25">
      <c r="B13276" s="1"/>
    </row>
    <row r="13277" spans="2:2" x14ac:dyDescent="0.25">
      <c r="B13277" s="1"/>
    </row>
    <row r="13278" spans="2:2" x14ac:dyDescent="0.25">
      <c r="B13278" s="1"/>
    </row>
    <row r="13279" spans="2:2" x14ac:dyDescent="0.25">
      <c r="B13279" s="1"/>
    </row>
    <row r="13280" spans="2:2" x14ac:dyDescent="0.25">
      <c r="B13280" s="1"/>
    </row>
    <row r="13281" spans="2:2" x14ac:dyDescent="0.25">
      <c r="B13281" s="1"/>
    </row>
    <row r="13282" spans="2:2" x14ac:dyDescent="0.25">
      <c r="B13282" s="1"/>
    </row>
    <row r="13283" spans="2:2" x14ac:dyDescent="0.25">
      <c r="B13283" s="1"/>
    </row>
    <row r="13284" spans="2:2" x14ac:dyDescent="0.25">
      <c r="B13284" s="1"/>
    </row>
    <row r="13285" spans="2:2" x14ac:dyDescent="0.25">
      <c r="B13285" s="1"/>
    </row>
    <row r="13286" spans="2:2" x14ac:dyDescent="0.25">
      <c r="B13286" s="1"/>
    </row>
    <row r="13287" spans="2:2" x14ac:dyDescent="0.25">
      <c r="B13287" s="1"/>
    </row>
    <row r="13288" spans="2:2" x14ac:dyDescent="0.25">
      <c r="B13288" s="1"/>
    </row>
    <row r="13289" spans="2:2" x14ac:dyDescent="0.25">
      <c r="B13289" s="1"/>
    </row>
    <row r="13290" spans="2:2" x14ac:dyDescent="0.25">
      <c r="B13290" s="1"/>
    </row>
    <row r="13291" spans="2:2" x14ac:dyDescent="0.25">
      <c r="B13291" s="1"/>
    </row>
    <row r="13292" spans="2:2" x14ac:dyDescent="0.25">
      <c r="B13292" s="1"/>
    </row>
    <row r="13293" spans="2:2" x14ac:dyDescent="0.25">
      <c r="B13293" s="1"/>
    </row>
    <row r="13294" spans="2:2" x14ac:dyDescent="0.25">
      <c r="B13294" s="1"/>
    </row>
    <row r="13295" spans="2:2" x14ac:dyDescent="0.25">
      <c r="B13295" s="1"/>
    </row>
    <row r="13296" spans="2:2" x14ac:dyDescent="0.25">
      <c r="B13296" s="1"/>
    </row>
    <row r="13297" spans="2:2" x14ac:dyDescent="0.25">
      <c r="B13297" s="1"/>
    </row>
    <row r="13298" spans="2:2" x14ac:dyDescent="0.25">
      <c r="B13298" s="1"/>
    </row>
    <row r="13299" spans="2:2" x14ac:dyDescent="0.25">
      <c r="B13299" s="1"/>
    </row>
    <row r="13300" spans="2:2" x14ac:dyDescent="0.25">
      <c r="B13300" s="1"/>
    </row>
    <row r="13301" spans="2:2" x14ac:dyDescent="0.25">
      <c r="B13301" s="1"/>
    </row>
    <row r="13302" spans="2:2" x14ac:dyDescent="0.25">
      <c r="B13302" s="1"/>
    </row>
    <row r="13303" spans="2:2" x14ac:dyDescent="0.25">
      <c r="B13303" s="1"/>
    </row>
    <row r="13304" spans="2:2" x14ac:dyDescent="0.25">
      <c r="B13304" s="1"/>
    </row>
    <row r="13305" spans="2:2" x14ac:dyDescent="0.25">
      <c r="B13305" s="1"/>
    </row>
    <row r="13306" spans="2:2" x14ac:dyDescent="0.25">
      <c r="B13306" s="1"/>
    </row>
    <row r="13307" spans="2:2" x14ac:dyDescent="0.25">
      <c r="B13307" s="1"/>
    </row>
    <row r="13308" spans="2:2" x14ac:dyDescent="0.25">
      <c r="B13308" s="1"/>
    </row>
    <row r="13309" spans="2:2" x14ac:dyDescent="0.25">
      <c r="B13309" s="1"/>
    </row>
    <row r="13310" spans="2:2" x14ac:dyDescent="0.25">
      <c r="B13310" s="1"/>
    </row>
    <row r="13311" spans="2:2" x14ac:dyDescent="0.25">
      <c r="B13311" s="1"/>
    </row>
    <row r="13312" spans="2:2" x14ac:dyDescent="0.25">
      <c r="B13312" s="1"/>
    </row>
    <row r="13313" spans="2:2" x14ac:dyDescent="0.25">
      <c r="B13313" s="1"/>
    </row>
    <row r="13314" spans="2:2" x14ac:dyDescent="0.25">
      <c r="B13314" s="1"/>
    </row>
    <row r="13315" spans="2:2" x14ac:dyDescent="0.25">
      <c r="B13315" s="1"/>
    </row>
    <row r="13316" spans="2:2" x14ac:dyDescent="0.25">
      <c r="B13316" s="1"/>
    </row>
    <row r="13317" spans="2:2" x14ac:dyDescent="0.25">
      <c r="B13317" s="1"/>
    </row>
    <row r="13318" spans="2:2" x14ac:dyDescent="0.25">
      <c r="B13318" s="1"/>
    </row>
    <row r="13319" spans="2:2" x14ac:dyDescent="0.25">
      <c r="B13319" s="1"/>
    </row>
    <row r="13320" spans="2:2" x14ac:dyDescent="0.25">
      <c r="B13320" s="1"/>
    </row>
    <row r="13321" spans="2:2" x14ac:dyDescent="0.25">
      <c r="B13321" s="1"/>
    </row>
    <row r="13322" spans="2:2" x14ac:dyDescent="0.25">
      <c r="B13322" s="1"/>
    </row>
    <row r="13323" spans="2:2" x14ac:dyDescent="0.25">
      <c r="B13323" s="1"/>
    </row>
    <row r="13324" spans="2:2" x14ac:dyDescent="0.25">
      <c r="B13324" s="1"/>
    </row>
    <row r="13325" spans="2:2" x14ac:dyDescent="0.25">
      <c r="B13325" s="1"/>
    </row>
    <row r="13326" spans="2:2" x14ac:dyDescent="0.25">
      <c r="B13326" s="1"/>
    </row>
    <row r="13327" spans="2:2" x14ac:dyDescent="0.25">
      <c r="B13327" s="1"/>
    </row>
    <row r="13328" spans="2:2" x14ac:dyDescent="0.25">
      <c r="B13328" s="1"/>
    </row>
    <row r="13329" spans="2:2" x14ac:dyDescent="0.25">
      <c r="B13329" s="1"/>
    </row>
    <row r="13330" spans="2:2" x14ac:dyDescent="0.25">
      <c r="B13330" s="1"/>
    </row>
    <row r="13331" spans="2:2" x14ac:dyDescent="0.25">
      <c r="B13331" s="1"/>
    </row>
    <row r="13332" spans="2:2" x14ac:dyDescent="0.25">
      <c r="B13332" s="1"/>
    </row>
    <row r="13333" spans="2:2" x14ac:dyDescent="0.25">
      <c r="B13333" s="1"/>
    </row>
    <row r="13334" spans="2:2" x14ac:dyDescent="0.25">
      <c r="B13334" s="1"/>
    </row>
    <row r="13335" spans="2:2" x14ac:dyDescent="0.25">
      <c r="B13335" s="1"/>
    </row>
    <row r="13336" spans="2:2" x14ac:dyDescent="0.25">
      <c r="B13336" s="1"/>
    </row>
    <row r="13337" spans="2:2" x14ac:dyDescent="0.25">
      <c r="B13337" s="1"/>
    </row>
    <row r="13338" spans="2:2" x14ac:dyDescent="0.25">
      <c r="B13338" s="1"/>
    </row>
    <row r="13339" spans="2:2" x14ac:dyDescent="0.25">
      <c r="B13339" s="1"/>
    </row>
    <row r="13340" spans="2:2" x14ac:dyDescent="0.25">
      <c r="B13340" s="1"/>
    </row>
    <row r="13341" spans="2:2" x14ac:dyDescent="0.25">
      <c r="B13341" s="1"/>
    </row>
    <row r="13342" spans="2:2" x14ac:dyDescent="0.25">
      <c r="B13342" s="1"/>
    </row>
    <row r="13343" spans="2:2" x14ac:dyDescent="0.25">
      <c r="B13343" s="1"/>
    </row>
    <row r="13344" spans="2:2" x14ac:dyDescent="0.25">
      <c r="B13344" s="1"/>
    </row>
    <row r="13345" spans="2:2" x14ac:dyDescent="0.25">
      <c r="B13345" s="1"/>
    </row>
    <row r="13346" spans="2:2" x14ac:dyDescent="0.25">
      <c r="B13346" s="1"/>
    </row>
    <row r="13347" spans="2:2" x14ac:dyDescent="0.25">
      <c r="B13347" s="1"/>
    </row>
    <row r="13348" spans="2:2" x14ac:dyDescent="0.25">
      <c r="B13348" s="1"/>
    </row>
    <row r="13349" spans="2:2" x14ac:dyDescent="0.25">
      <c r="B13349" s="1"/>
    </row>
    <row r="13350" spans="2:2" x14ac:dyDescent="0.25">
      <c r="B13350" s="1"/>
    </row>
    <row r="13351" spans="2:2" x14ac:dyDescent="0.25">
      <c r="B13351" s="1"/>
    </row>
    <row r="13352" spans="2:2" x14ac:dyDescent="0.25">
      <c r="B13352" s="1"/>
    </row>
    <row r="13353" spans="2:2" x14ac:dyDescent="0.25">
      <c r="B13353" s="1"/>
    </row>
    <row r="13354" spans="2:2" x14ac:dyDescent="0.25">
      <c r="B13354" s="1"/>
    </row>
    <row r="13355" spans="2:2" x14ac:dyDescent="0.25">
      <c r="B13355" s="1"/>
    </row>
    <row r="13356" spans="2:2" x14ac:dyDescent="0.25">
      <c r="B13356" s="1"/>
    </row>
    <row r="13357" spans="2:2" x14ac:dyDescent="0.25">
      <c r="B13357" s="1"/>
    </row>
    <row r="13358" spans="2:2" x14ac:dyDescent="0.25">
      <c r="B13358" s="1"/>
    </row>
    <row r="13359" spans="2:2" x14ac:dyDescent="0.25">
      <c r="B13359" s="1"/>
    </row>
    <row r="13360" spans="2:2" x14ac:dyDescent="0.25">
      <c r="B13360" s="1"/>
    </row>
    <row r="13361" spans="2:2" x14ac:dyDescent="0.25">
      <c r="B13361" s="1"/>
    </row>
    <row r="13362" spans="2:2" x14ac:dyDescent="0.25">
      <c r="B13362" s="1"/>
    </row>
    <row r="13363" spans="2:2" x14ac:dyDescent="0.25">
      <c r="B13363" s="1"/>
    </row>
    <row r="13364" spans="2:2" x14ac:dyDescent="0.25">
      <c r="B13364" s="1"/>
    </row>
    <row r="13365" spans="2:2" x14ac:dyDescent="0.25">
      <c r="B13365" s="1"/>
    </row>
    <row r="13366" spans="2:2" x14ac:dyDescent="0.25">
      <c r="B13366" s="1"/>
    </row>
    <row r="13367" spans="2:2" x14ac:dyDescent="0.25">
      <c r="B13367" s="1"/>
    </row>
    <row r="13368" spans="2:2" x14ac:dyDescent="0.25">
      <c r="B13368" s="1"/>
    </row>
    <row r="13369" spans="2:2" x14ac:dyDescent="0.25">
      <c r="B13369" s="1"/>
    </row>
    <row r="13370" spans="2:2" x14ac:dyDescent="0.25">
      <c r="B13370" s="1"/>
    </row>
    <row r="13371" spans="2:2" x14ac:dyDescent="0.25">
      <c r="B13371" s="1"/>
    </row>
    <row r="13372" spans="2:2" x14ac:dyDescent="0.25">
      <c r="B13372" s="1"/>
    </row>
    <row r="13373" spans="2:2" x14ac:dyDescent="0.25">
      <c r="B13373" s="1"/>
    </row>
    <row r="13374" spans="2:2" x14ac:dyDescent="0.25">
      <c r="B13374" s="1"/>
    </row>
    <row r="13375" spans="2:2" x14ac:dyDescent="0.25">
      <c r="B13375" s="1"/>
    </row>
    <row r="13376" spans="2:2" x14ac:dyDescent="0.25">
      <c r="B13376" s="1"/>
    </row>
    <row r="13377" spans="2:2" x14ac:dyDescent="0.25">
      <c r="B13377" s="1"/>
    </row>
    <row r="13378" spans="2:2" x14ac:dyDescent="0.25">
      <c r="B13378" s="1"/>
    </row>
    <row r="13379" spans="2:2" x14ac:dyDescent="0.25">
      <c r="B13379" s="1"/>
    </row>
    <row r="13380" spans="2:2" x14ac:dyDescent="0.25">
      <c r="B13380" s="1"/>
    </row>
    <row r="13381" spans="2:2" x14ac:dyDescent="0.25">
      <c r="B13381" s="1"/>
    </row>
    <row r="13382" spans="2:2" x14ac:dyDescent="0.25">
      <c r="B13382" s="1"/>
    </row>
    <row r="13383" spans="2:2" x14ac:dyDescent="0.25">
      <c r="B13383" s="1"/>
    </row>
    <row r="13384" spans="2:2" x14ac:dyDescent="0.25">
      <c r="B13384" s="1"/>
    </row>
    <row r="13385" spans="2:2" x14ac:dyDescent="0.25">
      <c r="B13385" s="1"/>
    </row>
    <row r="13386" spans="2:2" x14ac:dyDescent="0.25">
      <c r="B13386" s="1"/>
    </row>
    <row r="13387" spans="2:2" x14ac:dyDescent="0.25">
      <c r="B13387" s="1"/>
    </row>
    <row r="13388" spans="2:2" x14ac:dyDescent="0.25">
      <c r="B13388" s="1"/>
    </row>
    <row r="13389" spans="2:2" x14ac:dyDescent="0.25">
      <c r="B13389" s="1"/>
    </row>
    <row r="13390" spans="2:2" x14ac:dyDescent="0.25">
      <c r="B13390" s="1"/>
    </row>
    <row r="13391" spans="2:2" x14ac:dyDescent="0.25">
      <c r="B13391" s="1"/>
    </row>
    <row r="13392" spans="2:2" x14ac:dyDescent="0.25">
      <c r="B13392" s="1"/>
    </row>
    <row r="13393" spans="2:2" x14ac:dyDescent="0.25">
      <c r="B13393" s="1"/>
    </row>
    <row r="13394" spans="2:2" x14ac:dyDescent="0.25">
      <c r="B13394" s="1"/>
    </row>
    <row r="13395" spans="2:2" x14ac:dyDescent="0.25">
      <c r="B13395" s="1"/>
    </row>
    <row r="13396" spans="2:2" x14ac:dyDescent="0.25">
      <c r="B13396" s="1"/>
    </row>
    <row r="13397" spans="2:2" x14ac:dyDescent="0.25">
      <c r="B13397" s="1"/>
    </row>
    <row r="13398" spans="2:2" x14ac:dyDescent="0.25">
      <c r="B13398" s="1"/>
    </row>
    <row r="13399" spans="2:2" x14ac:dyDescent="0.25">
      <c r="B13399" s="1"/>
    </row>
    <row r="13400" spans="2:2" x14ac:dyDescent="0.25">
      <c r="B13400" s="1"/>
    </row>
    <row r="13401" spans="2:2" x14ac:dyDescent="0.25">
      <c r="B13401" s="1"/>
    </row>
    <row r="13402" spans="2:2" x14ac:dyDescent="0.25">
      <c r="B13402" s="1"/>
    </row>
    <row r="13403" spans="2:2" x14ac:dyDescent="0.25">
      <c r="B13403" s="1"/>
    </row>
    <row r="13404" spans="2:2" x14ac:dyDescent="0.25">
      <c r="B13404" s="1"/>
    </row>
    <row r="13405" spans="2:2" x14ac:dyDescent="0.25">
      <c r="B13405" s="1"/>
    </row>
    <row r="13406" spans="2:2" x14ac:dyDescent="0.25">
      <c r="B13406" s="1"/>
    </row>
    <row r="13407" spans="2:2" x14ac:dyDescent="0.25">
      <c r="B13407" s="1"/>
    </row>
    <row r="13408" spans="2:2" x14ac:dyDescent="0.25">
      <c r="B13408" s="1"/>
    </row>
    <row r="13409" spans="2:2" x14ac:dyDescent="0.25">
      <c r="B13409" s="1"/>
    </row>
    <row r="13410" spans="2:2" x14ac:dyDescent="0.25">
      <c r="B13410" s="1"/>
    </row>
    <row r="13411" spans="2:2" x14ac:dyDescent="0.25">
      <c r="B13411" s="1"/>
    </row>
    <row r="13412" spans="2:2" x14ac:dyDescent="0.25">
      <c r="B13412" s="1"/>
    </row>
    <row r="13413" spans="2:2" x14ac:dyDescent="0.25">
      <c r="B13413" s="1"/>
    </row>
    <row r="13414" spans="2:2" x14ac:dyDescent="0.25">
      <c r="B13414" s="1"/>
    </row>
    <row r="13415" spans="2:2" x14ac:dyDescent="0.25">
      <c r="B13415" s="1"/>
    </row>
    <row r="13416" spans="2:2" x14ac:dyDescent="0.25">
      <c r="B13416" s="1"/>
    </row>
    <row r="13417" spans="2:2" x14ac:dyDescent="0.25">
      <c r="B13417" s="1"/>
    </row>
    <row r="13418" spans="2:2" x14ac:dyDescent="0.25">
      <c r="B13418" s="1"/>
    </row>
    <row r="13419" spans="2:2" x14ac:dyDescent="0.25">
      <c r="B13419" s="1"/>
    </row>
    <row r="13420" spans="2:2" x14ac:dyDescent="0.25">
      <c r="B13420" s="1"/>
    </row>
    <row r="13421" spans="2:2" x14ac:dyDescent="0.25">
      <c r="B13421" s="1"/>
    </row>
    <row r="13422" spans="2:2" x14ac:dyDescent="0.25">
      <c r="B13422" s="1"/>
    </row>
    <row r="13423" spans="2:2" x14ac:dyDescent="0.25">
      <c r="B13423" s="1"/>
    </row>
    <row r="13424" spans="2:2" x14ac:dyDescent="0.25">
      <c r="B13424" s="1"/>
    </row>
    <row r="13425" spans="2:2" x14ac:dyDescent="0.25">
      <c r="B13425" s="1"/>
    </row>
    <row r="13426" spans="2:2" x14ac:dyDescent="0.25">
      <c r="B13426" s="1"/>
    </row>
    <row r="13427" spans="2:2" x14ac:dyDescent="0.25">
      <c r="B13427" s="1"/>
    </row>
    <row r="13428" spans="2:2" x14ac:dyDescent="0.25">
      <c r="B13428" s="1"/>
    </row>
    <row r="13429" spans="2:2" x14ac:dyDescent="0.25">
      <c r="B13429" s="1"/>
    </row>
    <row r="13430" spans="2:2" x14ac:dyDescent="0.25">
      <c r="B13430" s="1"/>
    </row>
    <row r="13431" spans="2:2" x14ac:dyDescent="0.25">
      <c r="B13431" s="1"/>
    </row>
    <row r="13432" spans="2:2" x14ac:dyDescent="0.25">
      <c r="B13432" s="1"/>
    </row>
    <row r="13433" spans="2:2" x14ac:dyDescent="0.25">
      <c r="B13433" s="1"/>
    </row>
    <row r="13434" spans="2:2" x14ac:dyDescent="0.25">
      <c r="B13434" s="1"/>
    </row>
    <row r="13435" spans="2:2" x14ac:dyDescent="0.25">
      <c r="B13435" s="1"/>
    </row>
    <row r="13436" spans="2:2" x14ac:dyDescent="0.25">
      <c r="B13436" s="1"/>
    </row>
    <row r="13437" spans="2:2" x14ac:dyDescent="0.25">
      <c r="B13437" s="1"/>
    </row>
    <row r="13438" spans="2:2" x14ac:dyDescent="0.25">
      <c r="B13438" s="1"/>
    </row>
    <row r="13439" spans="2:2" x14ac:dyDescent="0.25">
      <c r="B13439" s="1"/>
    </row>
    <row r="13440" spans="2:2" x14ac:dyDescent="0.25">
      <c r="B13440" s="1"/>
    </row>
    <row r="13441" spans="2:2" x14ac:dyDescent="0.25">
      <c r="B13441" s="1"/>
    </row>
    <row r="13442" spans="2:2" x14ac:dyDescent="0.25">
      <c r="B13442" s="1"/>
    </row>
    <row r="13443" spans="2:2" x14ac:dyDescent="0.25">
      <c r="B13443" s="1"/>
    </row>
    <row r="13444" spans="2:2" x14ac:dyDescent="0.25">
      <c r="B13444" s="1"/>
    </row>
    <row r="13445" spans="2:2" x14ac:dyDescent="0.25">
      <c r="B13445" s="1"/>
    </row>
    <row r="13446" spans="2:2" x14ac:dyDescent="0.25">
      <c r="B13446" s="1"/>
    </row>
    <row r="13447" spans="2:2" x14ac:dyDescent="0.25">
      <c r="B13447" s="1"/>
    </row>
    <row r="13448" spans="2:2" x14ac:dyDescent="0.25">
      <c r="B13448" s="1"/>
    </row>
    <row r="13449" spans="2:2" x14ac:dyDescent="0.25">
      <c r="B13449" s="1"/>
    </row>
    <row r="13450" spans="2:2" x14ac:dyDescent="0.25">
      <c r="B13450" s="1"/>
    </row>
    <row r="13451" spans="2:2" x14ac:dyDescent="0.25">
      <c r="B13451" s="1"/>
    </row>
    <row r="13452" spans="2:2" x14ac:dyDescent="0.25">
      <c r="B13452" s="1"/>
    </row>
    <row r="13453" spans="2:2" x14ac:dyDescent="0.25">
      <c r="B13453" s="1"/>
    </row>
    <row r="13454" spans="2:2" x14ac:dyDescent="0.25">
      <c r="B13454" s="1"/>
    </row>
    <row r="13455" spans="2:2" x14ac:dyDescent="0.25">
      <c r="B13455" s="1"/>
    </row>
    <row r="13456" spans="2:2" x14ac:dyDescent="0.25">
      <c r="B13456" s="1"/>
    </row>
    <row r="13457" spans="2:2" x14ac:dyDescent="0.25">
      <c r="B13457" s="1"/>
    </row>
    <row r="13458" spans="2:2" x14ac:dyDescent="0.25">
      <c r="B13458" s="1"/>
    </row>
    <row r="13459" spans="2:2" x14ac:dyDescent="0.25">
      <c r="B13459" s="1"/>
    </row>
    <row r="13460" spans="2:2" x14ac:dyDescent="0.25">
      <c r="B13460" s="1"/>
    </row>
    <row r="13461" spans="2:2" x14ac:dyDescent="0.25">
      <c r="B13461" s="1"/>
    </row>
    <row r="13462" spans="2:2" x14ac:dyDescent="0.25">
      <c r="B13462" s="1"/>
    </row>
    <row r="13463" spans="2:2" x14ac:dyDescent="0.25">
      <c r="B13463" s="1"/>
    </row>
    <row r="13464" spans="2:2" x14ac:dyDescent="0.25">
      <c r="B13464" s="1"/>
    </row>
    <row r="13465" spans="2:2" x14ac:dyDescent="0.25">
      <c r="B13465" s="1"/>
    </row>
    <row r="13466" spans="2:2" x14ac:dyDescent="0.25">
      <c r="B13466" s="1"/>
    </row>
    <row r="13467" spans="2:2" x14ac:dyDescent="0.25">
      <c r="B13467" s="1"/>
    </row>
    <row r="13468" spans="2:2" x14ac:dyDescent="0.25">
      <c r="B13468" s="1"/>
    </row>
    <row r="13469" spans="2:2" x14ac:dyDescent="0.25">
      <c r="B13469" s="1"/>
    </row>
    <row r="13470" spans="2:2" x14ac:dyDescent="0.25">
      <c r="B13470" s="1"/>
    </row>
    <row r="13471" spans="2:2" x14ac:dyDescent="0.25">
      <c r="B13471" s="1"/>
    </row>
    <row r="13472" spans="2:2" x14ac:dyDescent="0.25">
      <c r="B13472" s="1"/>
    </row>
    <row r="13473" spans="2:2" x14ac:dyDescent="0.25">
      <c r="B13473" s="1"/>
    </row>
    <row r="13474" spans="2:2" x14ac:dyDescent="0.25">
      <c r="B13474" s="1"/>
    </row>
    <row r="13475" spans="2:2" x14ac:dyDescent="0.25">
      <c r="B13475" s="1"/>
    </row>
    <row r="13476" spans="2:2" x14ac:dyDescent="0.25">
      <c r="B13476" s="1"/>
    </row>
    <row r="13477" spans="2:2" x14ac:dyDescent="0.25">
      <c r="B13477" s="1"/>
    </row>
    <row r="13478" spans="2:2" x14ac:dyDescent="0.25">
      <c r="B13478" s="1"/>
    </row>
    <row r="13479" spans="2:2" x14ac:dyDescent="0.25">
      <c r="B13479" s="1"/>
    </row>
    <row r="13480" spans="2:2" x14ac:dyDescent="0.25">
      <c r="B13480" s="1"/>
    </row>
    <row r="13481" spans="2:2" x14ac:dyDescent="0.25">
      <c r="B13481" s="1"/>
    </row>
    <row r="13482" spans="2:2" x14ac:dyDescent="0.25">
      <c r="B13482" s="1"/>
    </row>
    <row r="13483" spans="2:2" x14ac:dyDescent="0.25">
      <c r="B13483" s="1"/>
    </row>
    <row r="13484" spans="2:2" x14ac:dyDescent="0.25">
      <c r="B13484" s="1"/>
    </row>
    <row r="13485" spans="2:2" x14ac:dyDescent="0.25">
      <c r="B13485" s="1"/>
    </row>
    <row r="13486" spans="2:2" x14ac:dyDescent="0.25">
      <c r="B13486" s="1"/>
    </row>
    <row r="13487" spans="2:2" x14ac:dyDescent="0.25">
      <c r="B13487" s="1"/>
    </row>
    <row r="13488" spans="2:2" x14ac:dyDescent="0.25">
      <c r="B13488" s="1"/>
    </row>
    <row r="13489" spans="2:2" x14ac:dyDescent="0.25">
      <c r="B13489" s="1"/>
    </row>
    <row r="13490" spans="2:2" x14ac:dyDescent="0.25">
      <c r="B13490" s="1"/>
    </row>
    <row r="13491" spans="2:2" x14ac:dyDescent="0.25">
      <c r="B13491" s="1"/>
    </row>
    <row r="13492" spans="2:2" x14ac:dyDescent="0.25">
      <c r="B13492" s="1"/>
    </row>
    <row r="13493" spans="2:2" x14ac:dyDescent="0.25">
      <c r="B13493" s="1"/>
    </row>
    <row r="13494" spans="2:2" x14ac:dyDescent="0.25">
      <c r="B13494" s="1"/>
    </row>
    <row r="13495" spans="2:2" x14ac:dyDescent="0.25">
      <c r="B13495" s="1"/>
    </row>
    <row r="13496" spans="2:2" x14ac:dyDescent="0.25">
      <c r="B13496" s="1"/>
    </row>
    <row r="13497" spans="2:2" x14ac:dyDescent="0.25">
      <c r="B13497" s="1"/>
    </row>
    <row r="13498" spans="2:2" x14ac:dyDescent="0.25">
      <c r="B13498" s="1"/>
    </row>
    <row r="13499" spans="2:2" x14ac:dyDescent="0.25">
      <c r="B13499" s="1"/>
    </row>
    <row r="13500" spans="2:2" x14ac:dyDescent="0.25">
      <c r="B13500" s="1"/>
    </row>
    <row r="13501" spans="2:2" x14ac:dyDescent="0.25">
      <c r="B13501" s="1"/>
    </row>
    <row r="13502" spans="2:2" x14ac:dyDescent="0.25">
      <c r="B13502" s="1"/>
    </row>
    <row r="13503" spans="2:2" x14ac:dyDescent="0.25">
      <c r="B13503" s="1"/>
    </row>
    <row r="13504" spans="2:2" x14ac:dyDescent="0.25">
      <c r="B13504" s="1"/>
    </row>
    <row r="13505" spans="2:2" x14ac:dyDescent="0.25">
      <c r="B13505" s="1"/>
    </row>
    <row r="13506" spans="2:2" x14ac:dyDescent="0.25">
      <c r="B13506" s="1"/>
    </row>
    <row r="13507" spans="2:2" x14ac:dyDescent="0.25">
      <c r="B13507" s="1"/>
    </row>
    <row r="13508" spans="2:2" x14ac:dyDescent="0.25">
      <c r="B13508" s="1"/>
    </row>
    <row r="13509" spans="2:2" x14ac:dyDescent="0.25">
      <c r="B13509" s="1"/>
    </row>
    <row r="13510" spans="2:2" x14ac:dyDescent="0.25">
      <c r="B13510" s="1"/>
    </row>
    <row r="13511" spans="2:2" x14ac:dyDescent="0.25">
      <c r="B13511" s="1"/>
    </row>
    <row r="13512" spans="2:2" x14ac:dyDescent="0.25">
      <c r="B13512" s="1"/>
    </row>
    <row r="13513" spans="2:2" x14ac:dyDescent="0.25">
      <c r="B13513" s="1"/>
    </row>
    <row r="13514" spans="2:2" x14ac:dyDescent="0.25">
      <c r="B13514" s="1"/>
    </row>
    <row r="13515" spans="2:2" x14ac:dyDescent="0.25">
      <c r="B13515" s="1"/>
    </row>
    <row r="13516" spans="2:2" x14ac:dyDescent="0.25">
      <c r="B13516" s="1"/>
    </row>
    <row r="13517" spans="2:2" x14ac:dyDescent="0.25">
      <c r="B13517" s="1"/>
    </row>
    <row r="13518" spans="2:2" x14ac:dyDescent="0.25">
      <c r="B13518" s="1"/>
    </row>
    <row r="13519" spans="2:2" x14ac:dyDescent="0.25">
      <c r="B13519" s="1"/>
    </row>
    <row r="13520" spans="2:2" x14ac:dyDescent="0.25">
      <c r="B13520" s="1"/>
    </row>
    <row r="13521" spans="2:2" x14ac:dyDescent="0.25">
      <c r="B13521" s="1"/>
    </row>
    <row r="13522" spans="2:2" x14ac:dyDescent="0.25">
      <c r="B13522" s="1"/>
    </row>
    <row r="13523" spans="2:2" x14ac:dyDescent="0.25">
      <c r="B13523" s="1"/>
    </row>
    <row r="13524" spans="2:2" x14ac:dyDescent="0.25">
      <c r="B13524" s="1"/>
    </row>
    <row r="13525" spans="2:2" x14ac:dyDescent="0.25">
      <c r="B13525" s="1"/>
    </row>
    <row r="13526" spans="2:2" x14ac:dyDescent="0.25">
      <c r="B13526" s="1"/>
    </row>
    <row r="13527" spans="2:2" x14ac:dyDescent="0.25">
      <c r="B13527" s="1"/>
    </row>
    <row r="13528" spans="2:2" x14ac:dyDescent="0.25">
      <c r="B13528" s="1"/>
    </row>
    <row r="13529" spans="2:2" x14ac:dyDescent="0.25">
      <c r="B13529" s="1"/>
    </row>
    <row r="13530" spans="2:2" x14ac:dyDescent="0.25">
      <c r="B13530" s="1"/>
    </row>
    <row r="13531" spans="2:2" x14ac:dyDescent="0.25">
      <c r="B13531" s="1"/>
    </row>
    <row r="13532" spans="2:2" x14ac:dyDescent="0.25">
      <c r="B13532" s="1"/>
    </row>
    <row r="13533" spans="2:2" x14ac:dyDescent="0.25">
      <c r="B13533" s="1"/>
    </row>
    <row r="13534" spans="2:2" x14ac:dyDescent="0.25">
      <c r="B13534" s="1"/>
    </row>
    <row r="13535" spans="2:2" x14ac:dyDescent="0.25">
      <c r="B13535" s="1"/>
    </row>
    <row r="13536" spans="2:2" x14ac:dyDescent="0.25">
      <c r="B13536" s="1"/>
    </row>
    <row r="13537" spans="2:2" x14ac:dyDescent="0.25">
      <c r="B13537" s="1"/>
    </row>
    <row r="13538" spans="2:2" x14ac:dyDescent="0.25">
      <c r="B13538" s="1"/>
    </row>
    <row r="13539" spans="2:2" x14ac:dyDescent="0.25">
      <c r="B13539" s="1"/>
    </row>
    <row r="13540" spans="2:2" x14ac:dyDescent="0.25">
      <c r="B13540" s="1"/>
    </row>
    <row r="13541" spans="2:2" x14ac:dyDescent="0.25">
      <c r="B13541" s="1"/>
    </row>
    <row r="13542" spans="2:2" x14ac:dyDescent="0.25">
      <c r="B13542" s="1"/>
    </row>
    <row r="13543" spans="2:2" x14ac:dyDescent="0.25">
      <c r="B13543" s="1"/>
    </row>
    <row r="13544" spans="2:2" x14ac:dyDescent="0.25">
      <c r="B13544" s="1"/>
    </row>
    <row r="13545" spans="2:2" x14ac:dyDescent="0.25">
      <c r="B13545" s="1"/>
    </row>
    <row r="13546" spans="2:2" x14ac:dyDescent="0.25">
      <c r="B13546" s="1"/>
    </row>
    <row r="13547" spans="2:2" x14ac:dyDescent="0.25">
      <c r="B13547" s="1"/>
    </row>
    <row r="13548" spans="2:2" x14ac:dyDescent="0.25">
      <c r="B13548" s="1"/>
    </row>
    <row r="13549" spans="2:2" x14ac:dyDescent="0.25">
      <c r="B13549" s="1"/>
    </row>
    <row r="13550" spans="2:2" x14ac:dyDescent="0.25">
      <c r="B13550" s="1"/>
    </row>
    <row r="13551" spans="2:2" x14ac:dyDescent="0.25">
      <c r="B13551" s="1"/>
    </row>
    <row r="13552" spans="2:2" x14ac:dyDescent="0.25">
      <c r="B13552" s="1"/>
    </row>
    <row r="13553" spans="2:2" x14ac:dyDescent="0.25">
      <c r="B13553" s="1"/>
    </row>
    <row r="13554" spans="2:2" x14ac:dyDescent="0.25">
      <c r="B13554" s="1"/>
    </row>
    <row r="13555" spans="2:2" x14ac:dyDescent="0.25">
      <c r="B13555" s="1"/>
    </row>
    <row r="13556" spans="2:2" x14ac:dyDescent="0.25">
      <c r="B13556" s="1"/>
    </row>
    <row r="13557" spans="2:2" x14ac:dyDescent="0.25">
      <c r="B13557" s="1"/>
    </row>
    <row r="13558" spans="2:2" x14ac:dyDescent="0.25">
      <c r="B13558" s="1"/>
    </row>
    <row r="13559" spans="2:2" x14ac:dyDescent="0.25">
      <c r="B13559" s="1"/>
    </row>
    <row r="13560" spans="2:2" x14ac:dyDescent="0.25">
      <c r="B13560" s="1"/>
    </row>
    <row r="13561" spans="2:2" x14ac:dyDescent="0.25">
      <c r="B13561" s="1"/>
    </row>
    <row r="13562" spans="2:2" x14ac:dyDescent="0.25">
      <c r="B13562" s="1"/>
    </row>
    <row r="13563" spans="2:2" x14ac:dyDescent="0.25">
      <c r="B13563" s="1"/>
    </row>
    <row r="13564" spans="2:2" x14ac:dyDescent="0.25">
      <c r="B13564" s="1"/>
    </row>
    <row r="13565" spans="2:2" x14ac:dyDescent="0.25">
      <c r="B13565" s="1"/>
    </row>
    <row r="13566" spans="2:2" x14ac:dyDescent="0.25">
      <c r="B13566" s="1"/>
    </row>
    <row r="13567" spans="2:2" x14ac:dyDescent="0.25">
      <c r="B13567" s="1"/>
    </row>
    <row r="13568" spans="2:2" x14ac:dyDescent="0.25">
      <c r="B13568" s="1"/>
    </row>
    <row r="13569" spans="2:2" x14ac:dyDescent="0.25">
      <c r="B13569" s="1"/>
    </row>
    <row r="13570" spans="2:2" x14ac:dyDescent="0.25">
      <c r="B13570" s="1"/>
    </row>
    <row r="13571" spans="2:2" x14ac:dyDescent="0.25">
      <c r="B13571" s="1"/>
    </row>
    <row r="13572" spans="2:2" x14ac:dyDescent="0.25">
      <c r="B13572" s="1"/>
    </row>
    <row r="13573" spans="2:2" x14ac:dyDescent="0.25">
      <c r="B13573" s="1"/>
    </row>
    <row r="13574" spans="2:2" x14ac:dyDescent="0.25">
      <c r="B13574" s="1"/>
    </row>
    <row r="13575" spans="2:2" x14ac:dyDescent="0.25">
      <c r="B13575" s="1"/>
    </row>
    <row r="13576" spans="2:2" x14ac:dyDescent="0.25">
      <c r="B13576" s="1"/>
    </row>
    <row r="13577" spans="2:2" x14ac:dyDescent="0.25">
      <c r="B13577" s="1"/>
    </row>
    <row r="13578" spans="2:2" x14ac:dyDescent="0.25">
      <c r="B13578" s="1"/>
    </row>
    <row r="13579" spans="2:2" x14ac:dyDescent="0.25">
      <c r="B13579" s="1"/>
    </row>
    <row r="13580" spans="2:2" x14ac:dyDescent="0.25">
      <c r="B13580" s="1"/>
    </row>
    <row r="13581" spans="2:2" x14ac:dyDescent="0.25">
      <c r="B13581" s="1"/>
    </row>
    <row r="13582" spans="2:2" x14ac:dyDescent="0.25">
      <c r="B13582" s="1"/>
    </row>
    <row r="13583" spans="2:2" x14ac:dyDescent="0.25">
      <c r="B13583" s="1"/>
    </row>
    <row r="13584" spans="2:2" x14ac:dyDescent="0.25">
      <c r="B13584" s="1"/>
    </row>
    <row r="13585" spans="2:2" x14ac:dyDescent="0.25">
      <c r="B13585" s="1"/>
    </row>
    <row r="13586" spans="2:2" x14ac:dyDescent="0.25">
      <c r="B13586" s="1"/>
    </row>
    <row r="13587" spans="2:2" x14ac:dyDescent="0.25">
      <c r="B13587" s="1"/>
    </row>
    <row r="13588" spans="2:2" x14ac:dyDescent="0.25">
      <c r="B13588" s="1"/>
    </row>
    <row r="13589" spans="2:2" x14ac:dyDescent="0.25">
      <c r="B13589" s="1"/>
    </row>
    <row r="13590" spans="2:2" x14ac:dyDescent="0.25">
      <c r="B13590" s="1"/>
    </row>
    <row r="13591" spans="2:2" x14ac:dyDescent="0.25">
      <c r="B13591" s="1"/>
    </row>
    <row r="13592" spans="2:2" x14ac:dyDescent="0.25">
      <c r="B13592" s="1"/>
    </row>
    <row r="13593" spans="2:2" x14ac:dyDescent="0.25">
      <c r="B13593" s="1"/>
    </row>
    <row r="13594" spans="2:2" x14ac:dyDescent="0.25">
      <c r="B13594" s="1"/>
    </row>
    <row r="13595" spans="2:2" x14ac:dyDescent="0.25">
      <c r="B13595" s="1"/>
    </row>
    <row r="13596" spans="2:2" x14ac:dyDescent="0.25">
      <c r="B13596" s="1"/>
    </row>
    <row r="13597" spans="2:2" x14ac:dyDescent="0.25">
      <c r="B13597" s="1"/>
    </row>
    <row r="13598" spans="2:2" x14ac:dyDescent="0.25">
      <c r="B13598" s="1"/>
    </row>
    <row r="13599" spans="2:2" x14ac:dyDescent="0.25">
      <c r="B13599" s="1"/>
    </row>
    <row r="13600" spans="2:2" x14ac:dyDescent="0.25">
      <c r="B13600" s="1"/>
    </row>
    <row r="13601" spans="2:2" x14ac:dyDescent="0.25">
      <c r="B13601" s="1"/>
    </row>
    <row r="13602" spans="2:2" x14ac:dyDescent="0.25">
      <c r="B13602" s="1"/>
    </row>
    <row r="13603" spans="2:2" x14ac:dyDescent="0.25">
      <c r="B13603" s="1"/>
    </row>
    <row r="13604" spans="2:2" x14ac:dyDescent="0.25">
      <c r="B13604" s="1"/>
    </row>
    <row r="13605" spans="2:2" x14ac:dyDescent="0.25">
      <c r="B13605" s="1"/>
    </row>
    <row r="13606" spans="2:2" x14ac:dyDescent="0.25">
      <c r="B13606" s="1"/>
    </row>
    <row r="13607" spans="2:2" x14ac:dyDescent="0.25">
      <c r="B13607" s="1"/>
    </row>
    <row r="13608" spans="2:2" x14ac:dyDescent="0.25">
      <c r="B13608" s="1"/>
    </row>
    <row r="13609" spans="2:2" x14ac:dyDescent="0.25">
      <c r="B13609" s="1"/>
    </row>
    <row r="13610" spans="2:2" x14ac:dyDescent="0.25">
      <c r="B13610" s="1"/>
    </row>
    <row r="13611" spans="2:2" x14ac:dyDescent="0.25">
      <c r="B13611" s="1"/>
    </row>
    <row r="13612" spans="2:2" x14ac:dyDescent="0.25">
      <c r="B13612" s="1"/>
    </row>
    <row r="13613" spans="2:2" x14ac:dyDescent="0.25">
      <c r="B13613" s="1"/>
    </row>
    <row r="13614" spans="2:2" x14ac:dyDescent="0.25">
      <c r="B13614" s="1"/>
    </row>
    <row r="13615" spans="2:2" x14ac:dyDescent="0.25">
      <c r="B13615" s="1"/>
    </row>
    <row r="13616" spans="2:2" x14ac:dyDescent="0.25">
      <c r="B13616" s="1"/>
    </row>
    <row r="13617" spans="2:2" x14ac:dyDescent="0.25">
      <c r="B13617" s="1"/>
    </row>
    <row r="13618" spans="2:2" x14ac:dyDescent="0.25">
      <c r="B13618" s="1"/>
    </row>
    <row r="13619" spans="2:2" x14ac:dyDescent="0.25">
      <c r="B13619" s="1"/>
    </row>
    <row r="13620" spans="2:2" x14ac:dyDescent="0.25">
      <c r="B13620" s="1"/>
    </row>
    <row r="13621" spans="2:2" x14ac:dyDescent="0.25">
      <c r="B13621" s="1"/>
    </row>
    <row r="13622" spans="2:2" x14ac:dyDescent="0.25">
      <c r="B13622" s="1"/>
    </row>
    <row r="13623" spans="2:2" x14ac:dyDescent="0.25">
      <c r="B13623" s="1"/>
    </row>
    <row r="13624" spans="2:2" x14ac:dyDescent="0.25">
      <c r="B13624" s="1"/>
    </row>
    <row r="13625" spans="2:2" x14ac:dyDescent="0.25">
      <c r="B13625" s="1"/>
    </row>
    <row r="13626" spans="2:2" x14ac:dyDescent="0.25">
      <c r="B13626" s="1"/>
    </row>
    <row r="13627" spans="2:2" x14ac:dyDescent="0.25">
      <c r="B13627" s="1"/>
    </row>
    <row r="13628" spans="2:2" x14ac:dyDescent="0.25">
      <c r="B13628" s="1"/>
    </row>
    <row r="13629" spans="2:2" x14ac:dyDescent="0.25">
      <c r="B13629" s="1"/>
    </row>
    <row r="13630" spans="2:2" x14ac:dyDescent="0.25">
      <c r="B13630" s="1"/>
    </row>
    <row r="13631" spans="2:2" x14ac:dyDescent="0.25">
      <c r="B13631" s="1"/>
    </row>
    <row r="13632" spans="2:2" x14ac:dyDescent="0.25">
      <c r="B13632" s="1"/>
    </row>
    <row r="13633" spans="2:2" x14ac:dyDescent="0.25">
      <c r="B13633" s="1"/>
    </row>
    <row r="13634" spans="2:2" x14ac:dyDescent="0.25">
      <c r="B13634" s="1"/>
    </row>
    <row r="13635" spans="2:2" x14ac:dyDescent="0.25">
      <c r="B13635" s="1"/>
    </row>
    <row r="13636" spans="2:2" x14ac:dyDescent="0.25">
      <c r="B13636" s="1"/>
    </row>
    <row r="13637" spans="2:2" x14ac:dyDescent="0.25">
      <c r="B13637" s="1"/>
    </row>
    <row r="13638" spans="2:2" x14ac:dyDescent="0.25">
      <c r="B13638" s="1"/>
    </row>
    <row r="13639" spans="2:2" x14ac:dyDescent="0.25">
      <c r="B13639" s="1"/>
    </row>
    <row r="13640" spans="2:2" x14ac:dyDescent="0.25">
      <c r="B13640" s="1"/>
    </row>
    <row r="13641" spans="2:2" x14ac:dyDescent="0.25">
      <c r="B13641" s="1"/>
    </row>
    <row r="13642" spans="2:2" x14ac:dyDescent="0.25">
      <c r="B13642" s="1"/>
    </row>
    <row r="13643" spans="2:2" x14ac:dyDescent="0.25">
      <c r="B13643" s="1"/>
    </row>
    <row r="13644" spans="2:2" x14ac:dyDescent="0.25">
      <c r="B13644" s="1"/>
    </row>
    <row r="13645" spans="2:2" x14ac:dyDescent="0.25">
      <c r="B13645" s="1"/>
    </row>
    <row r="13646" spans="2:2" x14ac:dyDescent="0.25">
      <c r="B13646" s="1"/>
    </row>
    <row r="13647" spans="2:2" x14ac:dyDescent="0.25">
      <c r="B13647" s="1"/>
    </row>
    <row r="13648" spans="2:2" x14ac:dyDescent="0.25">
      <c r="B13648" s="1"/>
    </row>
    <row r="13649" spans="2:2" x14ac:dyDescent="0.25">
      <c r="B13649" s="1"/>
    </row>
    <row r="13650" spans="2:2" x14ac:dyDescent="0.25">
      <c r="B13650" s="1"/>
    </row>
    <row r="13651" spans="2:2" x14ac:dyDescent="0.25">
      <c r="B13651" s="1"/>
    </row>
    <row r="13652" spans="2:2" x14ac:dyDescent="0.25">
      <c r="B13652" s="1"/>
    </row>
    <row r="13653" spans="2:2" x14ac:dyDescent="0.25">
      <c r="B13653" s="1"/>
    </row>
    <row r="13654" spans="2:2" x14ac:dyDescent="0.25">
      <c r="B13654" s="1"/>
    </row>
    <row r="13655" spans="2:2" x14ac:dyDescent="0.25">
      <c r="B13655" s="1"/>
    </row>
    <row r="13656" spans="2:2" x14ac:dyDescent="0.25">
      <c r="B13656" s="1"/>
    </row>
    <row r="13657" spans="2:2" x14ac:dyDescent="0.25">
      <c r="B13657" s="1"/>
    </row>
    <row r="13658" spans="2:2" x14ac:dyDescent="0.25">
      <c r="B13658" s="1"/>
    </row>
    <row r="13659" spans="2:2" x14ac:dyDescent="0.25">
      <c r="B13659" s="1"/>
    </row>
    <row r="13660" spans="2:2" x14ac:dyDescent="0.25">
      <c r="B13660" s="1"/>
    </row>
    <row r="13661" spans="2:2" x14ac:dyDescent="0.25">
      <c r="B13661" s="1"/>
    </row>
    <row r="13662" spans="2:2" x14ac:dyDescent="0.25">
      <c r="B13662" s="1"/>
    </row>
    <row r="13663" spans="2:2" x14ac:dyDescent="0.25">
      <c r="B13663" s="1"/>
    </row>
    <row r="13664" spans="2:2" x14ac:dyDescent="0.25">
      <c r="B13664" s="1"/>
    </row>
    <row r="13665" spans="2:2" x14ac:dyDescent="0.25">
      <c r="B13665" s="1"/>
    </row>
    <row r="13666" spans="2:2" x14ac:dyDescent="0.25">
      <c r="B13666" s="1"/>
    </row>
    <row r="13667" spans="2:2" x14ac:dyDescent="0.25">
      <c r="B13667" s="1"/>
    </row>
    <row r="13668" spans="2:2" x14ac:dyDescent="0.25">
      <c r="B13668" s="1"/>
    </row>
    <row r="13669" spans="2:2" x14ac:dyDescent="0.25">
      <c r="B13669" s="1"/>
    </row>
    <row r="13670" spans="2:2" x14ac:dyDescent="0.25">
      <c r="B13670" s="1"/>
    </row>
    <row r="13671" spans="2:2" x14ac:dyDescent="0.25">
      <c r="B13671" s="1"/>
    </row>
    <row r="13672" spans="2:2" x14ac:dyDescent="0.25">
      <c r="B13672" s="1"/>
    </row>
    <row r="13673" spans="2:2" x14ac:dyDescent="0.25">
      <c r="B13673" s="1"/>
    </row>
    <row r="13674" spans="2:2" x14ac:dyDescent="0.25">
      <c r="B13674" s="1"/>
    </row>
    <row r="13675" spans="2:2" x14ac:dyDescent="0.25">
      <c r="B13675" s="1"/>
    </row>
    <row r="13676" spans="2:2" x14ac:dyDescent="0.25">
      <c r="B13676" s="1"/>
    </row>
    <row r="13677" spans="2:2" x14ac:dyDescent="0.25">
      <c r="B13677" s="1"/>
    </row>
    <row r="13678" spans="2:2" x14ac:dyDescent="0.25">
      <c r="B13678" s="1"/>
    </row>
    <row r="13679" spans="2:2" x14ac:dyDescent="0.25">
      <c r="B13679" s="1"/>
    </row>
    <row r="13680" spans="2:2" x14ac:dyDescent="0.25">
      <c r="B13680" s="1"/>
    </row>
    <row r="13681" spans="2:2" x14ac:dyDescent="0.25">
      <c r="B13681" s="1"/>
    </row>
    <row r="13682" spans="2:2" x14ac:dyDescent="0.25">
      <c r="B13682" s="1"/>
    </row>
    <row r="13683" spans="2:2" x14ac:dyDescent="0.25">
      <c r="B13683" s="1"/>
    </row>
    <row r="13684" spans="2:2" x14ac:dyDescent="0.25">
      <c r="B13684" s="1"/>
    </row>
    <row r="13685" spans="2:2" x14ac:dyDescent="0.25">
      <c r="B13685" s="1"/>
    </row>
    <row r="13686" spans="2:2" x14ac:dyDescent="0.25">
      <c r="B13686" s="1"/>
    </row>
    <row r="13687" spans="2:2" x14ac:dyDescent="0.25">
      <c r="B13687" s="1"/>
    </row>
    <row r="13688" spans="2:2" x14ac:dyDescent="0.25">
      <c r="B13688" s="1"/>
    </row>
    <row r="13689" spans="2:2" x14ac:dyDescent="0.25">
      <c r="B13689" s="1"/>
    </row>
    <row r="13690" spans="2:2" x14ac:dyDescent="0.25">
      <c r="B13690" s="1"/>
    </row>
    <row r="13691" spans="2:2" x14ac:dyDescent="0.25">
      <c r="B13691" s="1"/>
    </row>
    <row r="13692" spans="2:2" x14ac:dyDescent="0.25">
      <c r="B13692" s="1"/>
    </row>
    <row r="13693" spans="2:2" x14ac:dyDescent="0.25">
      <c r="B13693" s="1"/>
    </row>
    <row r="13694" spans="2:2" x14ac:dyDescent="0.25">
      <c r="B13694" s="1"/>
    </row>
    <row r="13695" spans="2:2" x14ac:dyDescent="0.25">
      <c r="B13695" s="1"/>
    </row>
    <row r="13696" spans="2:2" x14ac:dyDescent="0.25">
      <c r="B13696" s="1"/>
    </row>
    <row r="13697" spans="2:2" x14ac:dyDescent="0.25">
      <c r="B13697" s="1"/>
    </row>
    <row r="13698" spans="2:2" x14ac:dyDescent="0.25">
      <c r="B13698" s="1"/>
    </row>
    <row r="13699" spans="2:2" x14ac:dyDescent="0.25">
      <c r="B13699" s="1"/>
    </row>
    <row r="13700" spans="2:2" x14ac:dyDescent="0.25">
      <c r="B13700" s="1"/>
    </row>
    <row r="13701" spans="2:2" x14ac:dyDescent="0.25">
      <c r="B13701" s="1"/>
    </row>
    <row r="13702" spans="2:2" x14ac:dyDescent="0.25">
      <c r="B13702" s="1"/>
    </row>
    <row r="13703" spans="2:2" x14ac:dyDescent="0.25">
      <c r="B13703" s="1"/>
    </row>
    <row r="13704" spans="2:2" x14ac:dyDescent="0.25">
      <c r="B13704" s="1"/>
    </row>
    <row r="13705" spans="2:2" x14ac:dyDescent="0.25">
      <c r="B13705" s="1"/>
    </row>
    <row r="13706" spans="2:2" x14ac:dyDescent="0.25">
      <c r="B13706" s="1"/>
    </row>
    <row r="13707" spans="2:2" x14ac:dyDescent="0.25">
      <c r="B13707" s="1"/>
    </row>
    <row r="13708" spans="2:2" x14ac:dyDescent="0.25">
      <c r="B13708" s="1"/>
    </row>
    <row r="13709" spans="2:2" x14ac:dyDescent="0.25">
      <c r="B13709" s="1"/>
    </row>
    <row r="13710" spans="2:2" x14ac:dyDescent="0.25">
      <c r="B13710" s="1"/>
    </row>
    <row r="13711" spans="2:2" x14ac:dyDescent="0.25">
      <c r="B13711" s="1"/>
    </row>
    <row r="13712" spans="2:2" x14ac:dyDescent="0.25">
      <c r="B13712" s="1"/>
    </row>
    <row r="13713" spans="2:2" x14ac:dyDescent="0.25">
      <c r="B13713" s="1"/>
    </row>
    <row r="13714" spans="2:2" x14ac:dyDescent="0.25">
      <c r="B13714" s="1"/>
    </row>
    <row r="13715" spans="2:2" x14ac:dyDescent="0.25">
      <c r="B13715" s="1"/>
    </row>
    <row r="13716" spans="2:2" x14ac:dyDescent="0.25">
      <c r="B13716" s="1"/>
    </row>
    <row r="13717" spans="2:2" x14ac:dyDescent="0.25">
      <c r="B13717" s="1"/>
    </row>
    <row r="13718" spans="2:2" x14ac:dyDescent="0.25">
      <c r="B13718" s="1"/>
    </row>
    <row r="13719" spans="2:2" x14ac:dyDescent="0.25">
      <c r="B13719" s="1"/>
    </row>
    <row r="13720" spans="2:2" x14ac:dyDescent="0.25">
      <c r="B13720" s="1"/>
    </row>
    <row r="13721" spans="2:2" x14ac:dyDescent="0.25">
      <c r="B13721" s="1"/>
    </row>
    <row r="13722" spans="2:2" x14ac:dyDescent="0.25">
      <c r="B13722" s="1"/>
    </row>
    <row r="13723" spans="2:2" x14ac:dyDescent="0.25">
      <c r="B13723" s="1"/>
    </row>
    <row r="13724" spans="2:2" x14ac:dyDescent="0.25">
      <c r="B13724" s="1"/>
    </row>
    <row r="13725" spans="2:2" x14ac:dyDescent="0.25">
      <c r="B13725" s="1"/>
    </row>
    <row r="13726" spans="2:2" x14ac:dyDescent="0.25">
      <c r="B13726" s="1"/>
    </row>
    <row r="13727" spans="2:2" x14ac:dyDescent="0.25">
      <c r="B13727" s="1"/>
    </row>
    <row r="13728" spans="2:2" x14ac:dyDescent="0.25">
      <c r="B13728" s="1"/>
    </row>
    <row r="13729" spans="2:2" x14ac:dyDescent="0.25">
      <c r="B13729" s="1"/>
    </row>
    <row r="13730" spans="2:2" x14ac:dyDescent="0.25">
      <c r="B13730" s="1"/>
    </row>
    <row r="13731" spans="2:2" x14ac:dyDescent="0.25">
      <c r="B13731" s="1"/>
    </row>
    <row r="13732" spans="2:2" x14ac:dyDescent="0.25">
      <c r="B13732" s="1"/>
    </row>
    <row r="13733" spans="2:2" x14ac:dyDescent="0.25">
      <c r="B13733" s="1"/>
    </row>
    <row r="13734" spans="2:2" x14ac:dyDescent="0.25">
      <c r="B13734" s="1"/>
    </row>
    <row r="13735" spans="2:2" x14ac:dyDescent="0.25">
      <c r="B13735" s="1"/>
    </row>
    <row r="13736" spans="2:2" x14ac:dyDescent="0.25">
      <c r="B13736" s="1"/>
    </row>
    <row r="13737" spans="2:2" x14ac:dyDescent="0.25">
      <c r="B13737" s="1"/>
    </row>
    <row r="13738" spans="2:2" x14ac:dyDescent="0.25">
      <c r="B13738" s="1"/>
    </row>
    <row r="13739" spans="2:2" x14ac:dyDescent="0.25">
      <c r="B13739" s="1"/>
    </row>
    <row r="13740" spans="2:2" x14ac:dyDescent="0.25">
      <c r="B13740" s="1"/>
    </row>
    <row r="13741" spans="2:2" x14ac:dyDescent="0.25">
      <c r="B13741" s="1"/>
    </row>
    <row r="13742" spans="2:2" x14ac:dyDescent="0.25">
      <c r="B13742" s="1"/>
    </row>
    <row r="13743" spans="2:2" x14ac:dyDescent="0.25">
      <c r="B13743" s="1"/>
    </row>
    <row r="13744" spans="2:2" x14ac:dyDescent="0.25">
      <c r="B13744" s="1"/>
    </row>
    <row r="13745" spans="2:2" x14ac:dyDescent="0.25">
      <c r="B13745" s="1"/>
    </row>
    <row r="13746" spans="2:2" x14ac:dyDescent="0.25">
      <c r="B13746" s="1"/>
    </row>
    <row r="13747" spans="2:2" x14ac:dyDescent="0.25">
      <c r="B13747" s="1"/>
    </row>
    <row r="13748" spans="2:2" x14ac:dyDescent="0.25">
      <c r="B13748" s="1"/>
    </row>
    <row r="13749" spans="2:2" x14ac:dyDescent="0.25">
      <c r="B13749" s="1"/>
    </row>
    <row r="13750" spans="2:2" x14ac:dyDescent="0.25">
      <c r="B13750" s="1"/>
    </row>
    <row r="13751" spans="2:2" x14ac:dyDescent="0.25">
      <c r="B13751" s="1"/>
    </row>
    <row r="13752" spans="2:2" x14ac:dyDescent="0.25">
      <c r="B13752" s="1"/>
    </row>
    <row r="13753" spans="2:2" x14ac:dyDescent="0.25">
      <c r="B13753" s="1"/>
    </row>
    <row r="13754" spans="2:2" x14ac:dyDescent="0.25">
      <c r="B13754" s="1"/>
    </row>
    <row r="13755" spans="2:2" x14ac:dyDescent="0.25">
      <c r="B13755" s="1"/>
    </row>
    <row r="13756" spans="2:2" x14ac:dyDescent="0.25">
      <c r="B13756" s="1"/>
    </row>
    <row r="13757" spans="2:2" x14ac:dyDescent="0.25">
      <c r="B13757" s="1"/>
    </row>
    <row r="13758" spans="2:2" x14ac:dyDescent="0.25">
      <c r="B13758" s="1"/>
    </row>
    <row r="13759" spans="2:2" x14ac:dyDescent="0.25">
      <c r="B13759" s="1"/>
    </row>
    <row r="13760" spans="2:2" x14ac:dyDescent="0.25">
      <c r="B13760" s="1"/>
    </row>
    <row r="13761" spans="2:2" x14ac:dyDescent="0.25">
      <c r="B13761" s="1"/>
    </row>
    <row r="13762" spans="2:2" x14ac:dyDescent="0.25">
      <c r="B13762" s="1"/>
    </row>
    <row r="13763" spans="2:2" x14ac:dyDescent="0.25">
      <c r="B13763" s="1"/>
    </row>
    <row r="13764" spans="2:2" x14ac:dyDescent="0.25">
      <c r="B13764" s="1"/>
    </row>
    <row r="13765" spans="2:2" x14ac:dyDescent="0.25">
      <c r="B13765" s="1"/>
    </row>
    <row r="13766" spans="2:2" x14ac:dyDescent="0.25">
      <c r="B13766" s="1"/>
    </row>
    <row r="13767" spans="2:2" x14ac:dyDescent="0.25">
      <c r="B13767" s="1"/>
    </row>
    <row r="13768" spans="2:2" x14ac:dyDescent="0.25">
      <c r="B13768" s="1"/>
    </row>
    <row r="13769" spans="2:2" x14ac:dyDescent="0.25">
      <c r="B13769" s="1"/>
    </row>
    <row r="13770" spans="2:2" x14ac:dyDescent="0.25">
      <c r="B13770" s="1"/>
    </row>
    <row r="13771" spans="2:2" x14ac:dyDescent="0.25">
      <c r="B13771" s="1"/>
    </row>
    <row r="13772" spans="2:2" x14ac:dyDescent="0.25">
      <c r="B13772" s="1"/>
    </row>
    <row r="13773" spans="2:2" x14ac:dyDescent="0.25">
      <c r="B13773" s="1"/>
    </row>
    <row r="13774" spans="2:2" x14ac:dyDescent="0.25">
      <c r="B13774" s="1"/>
    </row>
    <row r="13775" spans="2:2" x14ac:dyDescent="0.25">
      <c r="B13775" s="1"/>
    </row>
    <row r="13776" spans="2:2" x14ac:dyDescent="0.25">
      <c r="B13776" s="1"/>
    </row>
    <row r="13777" spans="2:2" x14ac:dyDescent="0.25">
      <c r="B13777" s="1"/>
    </row>
    <row r="13778" spans="2:2" x14ac:dyDescent="0.25">
      <c r="B13778" s="1"/>
    </row>
    <row r="13779" spans="2:2" x14ac:dyDescent="0.25">
      <c r="B13779" s="1"/>
    </row>
    <row r="13780" spans="2:2" x14ac:dyDescent="0.25">
      <c r="B13780" s="1"/>
    </row>
    <row r="13781" spans="2:2" x14ac:dyDescent="0.25">
      <c r="B13781" s="1"/>
    </row>
    <row r="13782" spans="2:2" x14ac:dyDescent="0.25">
      <c r="B13782" s="1"/>
    </row>
    <row r="13783" spans="2:2" x14ac:dyDescent="0.25">
      <c r="B13783" s="1"/>
    </row>
    <row r="13784" spans="2:2" x14ac:dyDescent="0.25">
      <c r="B13784" s="1"/>
    </row>
    <row r="13785" spans="2:2" x14ac:dyDescent="0.25">
      <c r="B13785" s="1"/>
    </row>
    <row r="13786" spans="2:2" x14ac:dyDescent="0.25">
      <c r="B13786" s="1"/>
    </row>
    <row r="13787" spans="2:2" x14ac:dyDescent="0.25">
      <c r="B13787" s="1"/>
    </row>
    <row r="13788" spans="2:2" x14ac:dyDescent="0.25">
      <c r="B13788" s="1"/>
    </row>
    <row r="13789" spans="2:2" x14ac:dyDescent="0.25">
      <c r="B13789" s="1"/>
    </row>
    <row r="13790" spans="2:2" x14ac:dyDescent="0.25">
      <c r="B13790" s="1"/>
    </row>
    <row r="13791" spans="2:2" x14ac:dyDescent="0.25">
      <c r="B13791" s="1"/>
    </row>
    <row r="13792" spans="2:2" x14ac:dyDescent="0.25">
      <c r="B13792" s="1"/>
    </row>
    <row r="13793" spans="2:2" x14ac:dyDescent="0.25">
      <c r="B13793" s="1"/>
    </row>
    <row r="13794" spans="2:2" x14ac:dyDescent="0.25">
      <c r="B13794" s="1"/>
    </row>
    <row r="13795" spans="2:2" x14ac:dyDescent="0.25">
      <c r="B13795" s="1"/>
    </row>
    <row r="13796" spans="2:2" x14ac:dyDescent="0.25">
      <c r="B13796" s="1"/>
    </row>
    <row r="13797" spans="2:2" x14ac:dyDescent="0.25">
      <c r="B13797" s="1"/>
    </row>
    <row r="13798" spans="2:2" x14ac:dyDescent="0.25">
      <c r="B13798" s="1"/>
    </row>
    <row r="13799" spans="2:2" x14ac:dyDescent="0.25">
      <c r="B13799" s="1"/>
    </row>
    <row r="13800" spans="2:2" x14ac:dyDescent="0.25">
      <c r="B13800" s="1"/>
    </row>
    <row r="13801" spans="2:2" x14ac:dyDescent="0.25">
      <c r="B13801" s="1"/>
    </row>
    <row r="13802" spans="2:2" x14ac:dyDescent="0.25">
      <c r="B13802" s="1"/>
    </row>
    <row r="13803" spans="2:2" x14ac:dyDescent="0.25">
      <c r="B13803" s="1"/>
    </row>
    <row r="13804" spans="2:2" x14ac:dyDescent="0.25">
      <c r="B13804" s="1"/>
    </row>
    <row r="13805" spans="2:2" x14ac:dyDescent="0.25">
      <c r="B13805" s="1"/>
    </row>
    <row r="13806" spans="2:2" x14ac:dyDescent="0.25">
      <c r="B13806" s="1"/>
    </row>
    <row r="13807" spans="2:2" x14ac:dyDescent="0.25">
      <c r="B13807" s="1"/>
    </row>
    <row r="13808" spans="2:2" x14ac:dyDescent="0.25">
      <c r="B13808" s="1"/>
    </row>
    <row r="13809" spans="2:2" x14ac:dyDescent="0.25">
      <c r="B13809" s="1"/>
    </row>
    <row r="13810" spans="2:2" x14ac:dyDescent="0.25">
      <c r="B13810" s="1"/>
    </row>
    <row r="13811" spans="2:2" x14ac:dyDescent="0.25">
      <c r="B13811" s="1"/>
    </row>
    <row r="13812" spans="2:2" x14ac:dyDescent="0.25">
      <c r="B13812" s="1"/>
    </row>
    <row r="13813" spans="2:2" x14ac:dyDescent="0.25">
      <c r="B13813" s="1"/>
    </row>
    <row r="13814" spans="2:2" x14ac:dyDescent="0.25">
      <c r="B13814" s="1"/>
    </row>
    <row r="13815" spans="2:2" x14ac:dyDescent="0.25">
      <c r="B13815" s="1"/>
    </row>
    <row r="13816" spans="2:2" x14ac:dyDescent="0.25">
      <c r="B13816" s="1"/>
    </row>
    <row r="13817" spans="2:2" x14ac:dyDescent="0.25">
      <c r="B13817" s="1"/>
    </row>
    <row r="13818" spans="2:2" x14ac:dyDescent="0.25">
      <c r="B13818" s="1"/>
    </row>
    <row r="13819" spans="2:2" x14ac:dyDescent="0.25">
      <c r="B13819" s="1"/>
    </row>
    <row r="13820" spans="2:2" x14ac:dyDescent="0.25">
      <c r="B13820" s="1"/>
    </row>
    <row r="13821" spans="2:2" x14ac:dyDescent="0.25">
      <c r="B13821" s="1"/>
    </row>
    <row r="13822" spans="2:2" x14ac:dyDescent="0.25">
      <c r="B13822" s="1"/>
    </row>
    <row r="13823" spans="2:2" x14ac:dyDescent="0.25">
      <c r="B13823" s="1"/>
    </row>
    <row r="13824" spans="2:2" x14ac:dyDescent="0.25">
      <c r="B13824" s="1"/>
    </row>
    <row r="13825" spans="2:2" x14ac:dyDescent="0.25">
      <c r="B13825" s="1"/>
    </row>
    <row r="13826" spans="2:2" x14ac:dyDescent="0.25">
      <c r="B13826" s="1"/>
    </row>
    <row r="13827" spans="2:2" x14ac:dyDescent="0.25">
      <c r="B13827" s="1"/>
    </row>
    <row r="13828" spans="2:2" x14ac:dyDescent="0.25">
      <c r="B13828" s="1"/>
    </row>
    <row r="13829" spans="2:2" x14ac:dyDescent="0.25">
      <c r="B13829" s="1"/>
    </row>
    <row r="13830" spans="2:2" x14ac:dyDescent="0.25">
      <c r="B13830" s="1"/>
    </row>
    <row r="13831" spans="2:2" x14ac:dyDescent="0.25">
      <c r="B13831" s="1"/>
    </row>
    <row r="13832" spans="2:2" x14ac:dyDescent="0.25">
      <c r="B13832" s="1"/>
    </row>
    <row r="13833" spans="2:2" x14ac:dyDescent="0.25">
      <c r="B13833" s="1"/>
    </row>
    <row r="13834" spans="2:2" x14ac:dyDescent="0.25">
      <c r="B13834" s="1"/>
    </row>
    <row r="13835" spans="2:2" x14ac:dyDescent="0.25">
      <c r="B13835" s="1"/>
    </row>
    <row r="13836" spans="2:2" x14ac:dyDescent="0.25">
      <c r="B13836" s="1"/>
    </row>
    <row r="13837" spans="2:2" x14ac:dyDescent="0.25">
      <c r="B13837" s="1"/>
    </row>
    <row r="13838" spans="2:2" x14ac:dyDescent="0.25">
      <c r="B13838" s="1"/>
    </row>
    <row r="13839" spans="2:2" x14ac:dyDescent="0.25">
      <c r="B13839" s="1"/>
    </row>
    <row r="13840" spans="2:2" x14ac:dyDescent="0.25">
      <c r="B13840" s="1"/>
    </row>
    <row r="13841" spans="2:2" x14ac:dyDescent="0.25">
      <c r="B13841" s="1"/>
    </row>
    <row r="13842" spans="2:2" x14ac:dyDescent="0.25">
      <c r="B13842" s="1"/>
    </row>
    <row r="13843" spans="2:2" x14ac:dyDescent="0.25">
      <c r="B13843" s="1"/>
    </row>
    <row r="13844" spans="2:2" x14ac:dyDescent="0.25">
      <c r="B13844" s="1"/>
    </row>
    <row r="13845" spans="2:2" x14ac:dyDescent="0.25">
      <c r="B13845" s="1"/>
    </row>
    <row r="13846" spans="2:2" x14ac:dyDescent="0.25">
      <c r="B13846" s="1"/>
    </row>
    <row r="13847" spans="2:2" x14ac:dyDescent="0.25">
      <c r="B13847" s="1"/>
    </row>
    <row r="13848" spans="2:2" x14ac:dyDescent="0.25">
      <c r="B13848" s="1"/>
    </row>
    <row r="13849" spans="2:2" x14ac:dyDescent="0.25">
      <c r="B13849" s="1"/>
    </row>
    <row r="13850" spans="2:2" x14ac:dyDescent="0.25">
      <c r="B13850" s="1"/>
    </row>
    <row r="13851" spans="2:2" x14ac:dyDescent="0.25">
      <c r="B13851" s="1"/>
    </row>
    <row r="13852" spans="2:2" x14ac:dyDescent="0.25">
      <c r="B13852" s="1"/>
    </row>
    <row r="13853" spans="2:2" x14ac:dyDescent="0.25">
      <c r="B13853" s="1"/>
    </row>
    <row r="13854" spans="2:2" x14ac:dyDescent="0.25">
      <c r="B13854" s="1"/>
    </row>
    <row r="13855" spans="2:2" x14ac:dyDescent="0.25">
      <c r="B13855" s="1"/>
    </row>
    <row r="13856" spans="2:2" x14ac:dyDescent="0.25">
      <c r="B13856" s="1"/>
    </row>
    <row r="13857" spans="2:2" x14ac:dyDescent="0.25">
      <c r="B13857" s="1"/>
    </row>
    <row r="13858" spans="2:2" x14ac:dyDescent="0.25">
      <c r="B13858" s="1"/>
    </row>
    <row r="13859" spans="2:2" x14ac:dyDescent="0.25">
      <c r="B13859" s="1"/>
    </row>
    <row r="13860" spans="2:2" x14ac:dyDescent="0.25">
      <c r="B13860" s="1"/>
    </row>
    <row r="13861" spans="2:2" x14ac:dyDescent="0.25">
      <c r="B13861" s="1"/>
    </row>
    <row r="13862" spans="2:2" x14ac:dyDescent="0.25">
      <c r="B13862" s="1"/>
    </row>
    <row r="13863" spans="2:2" x14ac:dyDescent="0.25">
      <c r="B13863" s="1"/>
    </row>
    <row r="13864" spans="2:2" x14ac:dyDescent="0.25">
      <c r="B13864" s="1"/>
    </row>
    <row r="13865" spans="2:2" x14ac:dyDescent="0.25">
      <c r="B13865" s="1"/>
    </row>
    <row r="13866" spans="2:2" x14ac:dyDescent="0.25">
      <c r="B13866" s="1"/>
    </row>
    <row r="13867" spans="2:2" x14ac:dyDescent="0.25">
      <c r="B13867" s="1"/>
    </row>
    <row r="13868" spans="2:2" x14ac:dyDescent="0.25">
      <c r="B13868" s="1"/>
    </row>
    <row r="13869" spans="2:2" x14ac:dyDescent="0.25">
      <c r="B13869" s="1"/>
    </row>
    <row r="13870" spans="2:2" x14ac:dyDescent="0.25">
      <c r="B13870" s="1"/>
    </row>
    <row r="13871" spans="2:2" x14ac:dyDescent="0.25">
      <c r="B13871" s="1"/>
    </row>
    <row r="13872" spans="2:2" x14ac:dyDescent="0.25">
      <c r="B13872" s="1"/>
    </row>
    <row r="13873" spans="2:2" x14ac:dyDescent="0.25">
      <c r="B13873" s="1"/>
    </row>
    <row r="13874" spans="2:2" x14ac:dyDescent="0.25">
      <c r="B13874" s="1"/>
    </row>
    <row r="13875" spans="2:2" x14ac:dyDescent="0.25">
      <c r="B13875" s="1"/>
    </row>
    <row r="13876" spans="2:2" x14ac:dyDescent="0.25">
      <c r="B13876" s="1"/>
    </row>
    <row r="13877" spans="2:2" x14ac:dyDescent="0.25">
      <c r="B13877" s="1"/>
    </row>
    <row r="13878" spans="2:2" x14ac:dyDescent="0.25">
      <c r="B13878" s="1"/>
    </row>
    <row r="13879" spans="2:2" x14ac:dyDescent="0.25">
      <c r="B13879" s="1"/>
    </row>
    <row r="13880" spans="2:2" x14ac:dyDescent="0.25">
      <c r="B13880" s="1"/>
    </row>
    <row r="13881" spans="2:2" x14ac:dyDescent="0.25">
      <c r="B13881" s="1"/>
    </row>
    <row r="13882" spans="2:2" x14ac:dyDescent="0.25">
      <c r="B13882" s="1"/>
    </row>
    <row r="13883" spans="2:2" x14ac:dyDescent="0.25">
      <c r="B13883" s="1"/>
    </row>
    <row r="13884" spans="2:2" x14ac:dyDescent="0.25">
      <c r="B13884" s="1"/>
    </row>
    <row r="13885" spans="2:2" x14ac:dyDescent="0.25">
      <c r="B13885" s="1"/>
    </row>
    <row r="13886" spans="2:2" x14ac:dyDescent="0.25">
      <c r="B13886" s="1"/>
    </row>
    <row r="13887" spans="2:2" x14ac:dyDescent="0.25">
      <c r="B13887" s="1"/>
    </row>
    <row r="13888" spans="2:2" x14ac:dyDescent="0.25">
      <c r="B13888" s="1"/>
    </row>
    <row r="13889" spans="2:2" x14ac:dyDescent="0.25">
      <c r="B13889" s="1"/>
    </row>
    <row r="13890" spans="2:2" x14ac:dyDescent="0.25">
      <c r="B13890" s="1"/>
    </row>
    <row r="13891" spans="2:2" x14ac:dyDescent="0.25">
      <c r="B13891" s="1"/>
    </row>
    <row r="13892" spans="2:2" x14ac:dyDescent="0.25">
      <c r="B13892" s="1"/>
    </row>
    <row r="13893" spans="2:2" x14ac:dyDescent="0.25">
      <c r="B13893" s="1"/>
    </row>
    <row r="13894" spans="2:2" x14ac:dyDescent="0.25">
      <c r="B13894" s="1"/>
    </row>
    <row r="13895" spans="2:2" x14ac:dyDescent="0.25">
      <c r="B13895" s="1"/>
    </row>
    <row r="13896" spans="2:2" x14ac:dyDescent="0.25">
      <c r="B13896" s="1"/>
    </row>
    <row r="13897" spans="2:2" x14ac:dyDescent="0.25">
      <c r="B13897" s="1"/>
    </row>
    <row r="13898" spans="2:2" x14ac:dyDescent="0.25">
      <c r="B13898" s="1"/>
    </row>
    <row r="13899" spans="2:2" x14ac:dyDescent="0.25">
      <c r="B13899" s="1"/>
    </row>
    <row r="13900" spans="2:2" x14ac:dyDescent="0.25">
      <c r="B13900" s="1"/>
    </row>
    <row r="13901" spans="2:2" x14ac:dyDescent="0.25">
      <c r="B13901" s="1"/>
    </row>
    <row r="13902" spans="2:2" x14ac:dyDescent="0.25">
      <c r="B13902" s="1"/>
    </row>
    <row r="13903" spans="2:2" x14ac:dyDescent="0.25">
      <c r="B13903" s="1"/>
    </row>
    <row r="13904" spans="2:2" x14ac:dyDescent="0.25">
      <c r="B13904" s="1"/>
    </row>
    <row r="13905" spans="2:2" x14ac:dyDescent="0.25">
      <c r="B13905" s="1"/>
    </row>
    <row r="13906" spans="2:2" x14ac:dyDescent="0.25">
      <c r="B13906" s="1"/>
    </row>
    <row r="13907" spans="2:2" x14ac:dyDescent="0.25">
      <c r="B13907" s="1"/>
    </row>
    <row r="13908" spans="2:2" x14ac:dyDescent="0.25">
      <c r="B13908" s="1"/>
    </row>
    <row r="13909" spans="2:2" x14ac:dyDescent="0.25">
      <c r="B13909" s="1"/>
    </row>
    <row r="13910" spans="2:2" x14ac:dyDescent="0.25">
      <c r="B13910" s="1"/>
    </row>
    <row r="13911" spans="2:2" x14ac:dyDescent="0.25">
      <c r="B13911" s="1"/>
    </row>
    <row r="13912" spans="2:2" x14ac:dyDescent="0.25">
      <c r="B13912" s="1"/>
    </row>
    <row r="13913" spans="2:2" x14ac:dyDescent="0.25">
      <c r="B13913" s="1"/>
    </row>
    <row r="13914" spans="2:2" x14ac:dyDescent="0.25">
      <c r="B13914" s="1"/>
    </row>
    <row r="13915" spans="2:2" x14ac:dyDescent="0.25">
      <c r="B13915" s="1"/>
    </row>
    <row r="13916" spans="2:2" x14ac:dyDescent="0.25">
      <c r="B13916" s="1"/>
    </row>
    <row r="13917" spans="2:2" x14ac:dyDescent="0.25">
      <c r="B13917" s="1"/>
    </row>
    <row r="13918" spans="2:2" x14ac:dyDescent="0.25">
      <c r="B13918" s="1"/>
    </row>
    <row r="13919" spans="2:2" x14ac:dyDescent="0.25">
      <c r="B13919" s="1"/>
    </row>
    <row r="13920" spans="2:2" x14ac:dyDescent="0.25">
      <c r="B13920" s="1"/>
    </row>
    <row r="13921" spans="2:2" x14ac:dyDescent="0.25">
      <c r="B13921" s="1"/>
    </row>
    <row r="13922" spans="2:2" x14ac:dyDescent="0.25">
      <c r="B13922" s="1"/>
    </row>
    <row r="13923" spans="2:2" x14ac:dyDescent="0.25">
      <c r="B13923" s="1"/>
    </row>
    <row r="13924" spans="2:2" x14ac:dyDescent="0.25">
      <c r="B13924" s="1"/>
    </row>
    <row r="13925" spans="2:2" x14ac:dyDescent="0.25">
      <c r="B13925" s="1"/>
    </row>
    <row r="13926" spans="2:2" x14ac:dyDescent="0.25">
      <c r="B13926" s="1"/>
    </row>
    <row r="13927" spans="2:2" x14ac:dyDescent="0.25">
      <c r="B13927" s="1"/>
    </row>
    <row r="13928" spans="2:2" x14ac:dyDescent="0.25">
      <c r="B13928" s="1"/>
    </row>
    <row r="13929" spans="2:2" x14ac:dyDescent="0.25">
      <c r="B13929" s="1"/>
    </row>
    <row r="13930" spans="2:2" x14ac:dyDescent="0.25">
      <c r="B13930" s="1"/>
    </row>
    <row r="13931" spans="2:2" x14ac:dyDescent="0.25">
      <c r="B13931" s="1"/>
    </row>
    <row r="13932" spans="2:2" x14ac:dyDescent="0.25">
      <c r="B13932" s="1"/>
    </row>
    <row r="13933" spans="2:2" x14ac:dyDescent="0.25">
      <c r="B13933" s="1"/>
    </row>
    <row r="13934" spans="2:2" x14ac:dyDescent="0.25">
      <c r="B13934" s="1"/>
    </row>
    <row r="13935" spans="2:2" x14ac:dyDescent="0.25">
      <c r="B13935" s="1"/>
    </row>
    <row r="13936" spans="2:2" x14ac:dyDescent="0.25">
      <c r="B13936" s="1"/>
    </row>
    <row r="13937" spans="2:2" x14ac:dyDescent="0.25">
      <c r="B13937" s="1"/>
    </row>
    <row r="13938" spans="2:2" x14ac:dyDescent="0.25">
      <c r="B13938" s="1"/>
    </row>
    <row r="13939" spans="2:2" x14ac:dyDescent="0.25">
      <c r="B13939" s="1"/>
    </row>
    <row r="13940" spans="2:2" x14ac:dyDescent="0.25">
      <c r="B13940" s="1"/>
    </row>
    <row r="13941" spans="2:2" x14ac:dyDescent="0.25">
      <c r="B13941" s="1"/>
    </row>
    <row r="13942" spans="2:2" x14ac:dyDescent="0.25">
      <c r="B13942" s="1"/>
    </row>
    <row r="13943" spans="2:2" x14ac:dyDescent="0.25">
      <c r="B13943" s="1"/>
    </row>
    <row r="13944" spans="2:2" x14ac:dyDescent="0.25">
      <c r="B13944" s="1"/>
    </row>
    <row r="13945" spans="2:2" x14ac:dyDescent="0.25">
      <c r="B13945" s="1"/>
    </row>
    <row r="13946" spans="2:2" x14ac:dyDescent="0.25">
      <c r="B13946" s="1"/>
    </row>
    <row r="13947" spans="2:2" x14ac:dyDescent="0.25">
      <c r="B13947" s="1"/>
    </row>
    <row r="13948" spans="2:2" x14ac:dyDescent="0.25">
      <c r="B13948" s="1"/>
    </row>
    <row r="13949" spans="2:2" x14ac:dyDescent="0.25">
      <c r="B13949" s="1"/>
    </row>
    <row r="13950" spans="2:2" x14ac:dyDescent="0.25">
      <c r="B13950" s="1"/>
    </row>
    <row r="13951" spans="2:2" x14ac:dyDescent="0.25">
      <c r="B13951" s="1"/>
    </row>
    <row r="13952" spans="2:2" x14ac:dyDescent="0.25">
      <c r="B13952" s="1"/>
    </row>
    <row r="13953" spans="2:2" x14ac:dyDescent="0.25">
      <c r="B13953" s="1"/>
    </row>
    <row r="13954" spans="2:2" x14ac:dyDescent="0.25">
      <c r="B13954" s="1"/>
    </row>
    <row r="13955" spans="2:2" x14ac:dyDescent="0.25">
      <c r="B13955" s="1"/>
    </row>
    <row r="13956" spans="2:2" x14ac:dyDescent="0.25">
      <c r="B13956" s="1"/>
    </row>
    <row r="13957" spans="2:2" x14ac:dyDescent="0.25">
      <c r="B13957" s="1"/>
    </row>
    <row r="13958" spans="2:2" x14ac:dyDescent="0.25">
      <c r="B13958" s="1"/>
    </row>
    <row r="13959" spans="2:2" x14ac:dyDescent="0.25">
      <c r="B13959" s="1"/>
    </row>
    <row r="13960" spans="2:2" x14ac:dyDescent="0.25">
      <c r="B13960" s="1"/>
    </row>
    <row r="13961" spans="2:2" x14ac:dyDescent="0.25">
      <c r="B13961" s="1"/>
    </row>
    <row r="13962" spans="2:2" x14ac:dyDescent="0.25">
      <c r="B13962" s="1"/>
    </row>
    <row r="13963" spans="2:2" x14ac:dyDescent="0.25">
      <c r="B13963" s="1"/>
    </row>
    <row r="13964" spans="2:2" x14ac:dyDescent="0.25">
      <c r="B13964" s="1"/>
    </row>
    <row r="13965" spans="2:2" x14ac:dyDescent="0.25">
      <c r="B13965" s="1"/>
    </row>
    <row r="13966" spans="2:2" x14ac:dyDescent="0.25">
      <c r="B13966" s="1"/>
    </row>
    <row r="13967" spans="2:2" x14ac:dyDescent="0.25">
      <c r="B13967" s="1"/>
    </row>
    <row r="13968" spans="2:2" x14ac:dyDescent="0.25">
      <c r="B13968" s="1"/>
    </row>
    <row r="13969" spans="2:2" x14ac:dyDescent="0.25">
      <c r="B13969" s="1"/>
    </row>
    <row r="13970" spans="2:2" x14ac:dyDescent="0.25">
      <c r="B13970" s="1"/>
    </row>
    <row r="13971" spans="2:2" x14ac:dyDescent="0.25">
      <c r="B13971" s="1"/>
    </row>
    <row r="13972" spans="2:2" x14ac:dyDescent="0.25">
      <c r="B13972" s="1"/>
    </row>
    <row r="13973" spans="2:2" x14ac:dyDescent="0.25">
      <c r="B13973" s="1"/>
    </row>
    <row r="13974" spans="2:2" x14ac:dyDescent="0.25">
      <c r="B13974" s="1"/>
    </row>
    <row r="13975" spans="2:2" x14ac:dyDescent="0.25">
      <c r="B13975" s="1"/>
    </row>
    <row r="13976" spans="2:2" x14ac:dyDescent="0.25">
      <c r="B13976" s="1"/>
    </row>
    <row r="13977" spans="2:2" x14ac:dyDescent="0.25">
      <c r="B13977" s="1"/>
    </row>
    <row r="13978" spans="2:2" x14ac:dyDescent="0.25">
      <c r="B13978" s="1"/>
    </row>
    <row r="13979" spans="2:2" x14ac:dyDescent="0.25">
      <c r="B13979" s="1"/>
    </row>
    <row r="13980" spans="2:2" x14ac:dyDescent="0.25">
      <c r="B13980" s="1"/>
    </row>
    <row r="13981" spans="2:2" x14ac:dyDescent="0.25">
      <c r="B13981" s="1"/>
    </row>
    <row r="13982" spans="2:2" x14ac:dyDescent="0.25">
      <c r="B13982" s="1"/>
    </row>
    <row r="13983" spans="2:2" x14ac:dyDescent="0.25">
      <c r="B13983" s="1"/>
    </row>
    <row r="13984" spans="2:2" x14ac:dyDescent="0.25">
      <c r="B13984" s="1"/>
    </row>
    <row r="13985" spans="2:2" x14ac:dyDescent="0.25">
      <c r="B13985" s="1"/>
    </row>
    <row r="13986" spans="2:2" x14ac:dyDescent="0.25">
      <c r="B13986" s="1"/>
    </row>
    <row r="13987" spans="2:2" x14ac:dyDescent="0.25">
      <c r="B13987" s="1"/>
    </row>
    <row r="13988" spans="2:2" x14ac:dyDescent="0.25">
      <c r="B13988" s="1"/>
    </row>
    <row r="13989" spans="2:2" x14ac:dyDescent="0.25">
      <c r="B13989" s="1"/>
    </row>
    <row r="13990" spans="2:2" x14ac:dyDescent="0.25">
      <c r="B13990" s="1"/>
    </row>
    <row r="13991" spans="2:2" x14ac:dyDescent="0.25">
      <c r="B13991" s="1"/>
    </row>
    <row r="13992" spans="2:2" x14ac:dyDescent="0.25">
      <c r="B13992" s="1"/>
    </row>
    <row r="13993" spans="2:2" x14ac:dyDescent="0.25">
      <c r="B13993" s="1"/>
    </row>
    <row r="13994" spans="2:2" x14ac:dyDescent="0.25">
      <c r="B13994" s="1"/>
    </row>
    <row r="13995" spans="2:2" x14ac:dyDescent="0.25">
      <c r="B13995" s="1"/>
    </row>
    <row r="13996" spans="2:2" x14ac:dyDescent="0.25">
      <c r="B13996" s="1"/>
    </row>
    <row r="13997" spans="2:2" x14ac:dyDescent="0.25">
      <c r="B13997" s="1"/>
    </row>
    <row r="13998" spans="2:2" x14ac:dyDescent="0.25">
      <c r="B13998" s="1"/>
    </row>
    <row r="13999" spans="2:2" x14ac:dyDescent="0.25">
      <c r="B13999" s="1"/>
    </row>
    <row r="14000" spans="2:2" x14ac:dyDescent="0.25">
      <c r="B14000" s="1"/>
    </row>
    <row r="14001" spans="2:2" x14ac:dyDescent="0.25">
      <c r="B14001" s="1"/>
    </row>
    <row r="14002" spans="2:2" x14ac:dyDescent="0.25">
      <c r="B14002" s="1"/>
    </row>
    <row r="14003" spans="2:2" x14ac:dyDescent="0.25">
      <c r="B14003" s="1"/>
    </row>
    <row r="14004" spans="2:2" x14ac:dyDescent="0.25">
      <c r="B14004" s="1"/>
    </row>
    <row r="14005" spans="2:2" x14ac:dyDescent="0.25">
      <c r="B14005" s="1"/>
    </row>
    <row r="14006" spans="2:2" x14ac:dyDescent="0.25">
      <c r="B14006" s="1"/>
    </row>
    <row r="14007" spans="2:2" x14ac:dyDescent="0.25">
      <c r="B14007" s="1"/>
    </row>
    <row r="14008" spans="2:2" x14ac:dyDescent="0.25">
      <c r="B14008" s="1"/>
    </row>
    <row r="14009" spans="2:2" x14ac:dyDescent="0.25">
      <c r="B14009" s="1"/>
    </row>
    <row r="14010" spans="2:2" x14ac:dyDescent="0.25">
      <c r="B14010" s="1"/>
    </row>
    <row r="14011" spans="2:2" x14ac:dyDescent="0.25">
      <c r="B14011" s="1"/>
    </row>
    <row r="14012" spans="2:2" x14ac:dyDescent="0.25">
      <c r="B14012" s="1"/>
    </row>
    <row r="14013" spans="2:2" x14ac:dyDescent="0.25">
      <c r="B14013" s="1"/>
    </row>
    <row r="14014" spans="2:2" x14ac:dyDescent="0.25">
      <c r="B14014" s="1"/>
    </row>
    <row r="14015" spans="2:2" x14ac:dyDescent="0.25">
      <c r="B14015" s="1"/>
    </row>
    <row r="14016" spans="2:2" x14ac:dyDescent="0.25">
      <c r="B14016" s="1"/>
    </row>
    <row r="14017" spans="2:2" x14ac:dyDescent="0.25">
      <c r="B14017" s="1"/>
    </row>
    <row r="14018" spans="2:2" x14ac:dyDescent="0.25">
      <c r="B14018" s="1"/>
    </row>
    <row r="14019" spans="2:2" x14ac:dyDescent="0.25">
      <c r="B14019" s="1"/>
    </row>
    <row r="14020" spans="2:2" x14ac:dyDescent="0.25">
      <c r="B14020" s="1"/>
    </row>
    <row r="14021" spans="2:2" x14ac:dyDescent="0.25">
      <c r="B14021" s="1"/>
    </row>
    <row r="14022" spans="2:2" x14ac:dyDescent="0.25">
      <c r="B14022" s="1"/>
    </row>
    <row r="14023" spans="2:2" x14ac:dyDescent="0.25">
      <c r="B14023" s="1"/>
    </row>
    <row r="14024" spans="2:2" x14ac:dyDescent="0.25">
      <c r="B14024" s="1"/>
    </row>
    <row r="14025" spans="2:2" x14ac:dyDescent="0.25">
      <c r="B14025" s="1"/>
    </row>
    <row r="14026" spans="2:2" x14ac:dyDescent="0.25">
      <c r="B14026" s="1"/>
    </row>
    <row r="14027" spans="2:2" x14ac:dyDescent="0.25">
      <c r="B14027" s="1"/>
    </row>
    <row r="14028" spans="2:2" x14ac:dyDescent="0.25">
      <c r="B14028" s="1"/>
    </row>
    <row r="14029" spans="2:2" x14ac:dyDescent="0.25">
      <c r="B14029" s="1"/>
    </row>
    <row r="14030" spans="2:2" x14ac:dyDescent="0.25">
      <c r="B14030" s="1"/>
    </row>
    <row r="14031" spans="2:2" x14ac:dyDescent="0.25">
      <c r="B14031" s="1"/>
    </row>
    <row r="14032" spans="2:2" x14ac:dyDescent="0.25">
      <c r="B14032" s="1"/>
    </row>
    <row r="14033" spans="2:2" x14ac:dyDescent="0.25">
      <c r="B14033" s="1"/>
    </row>
    <row r="14034" spans="2:2" x14ac:dyDescent="0.25">
      <c r="B14034" s="1"/>
    </row>
    <row r="14035" spans="2:2" x14ac:dyDescent="0.25">
      <c r="B14035" s="1"/>
    </row>
    <row r="14036" spans="2:2" x14ac:dyDescent="0.25">
      <c r="B14036" s="1"/>
    </row>
    <row r="14037" spans="2:2" x14ac:dyDescent="0.25">
      <c r="B14037" s="1"/>
    </row>
    <row r="14038" spans="2:2" x14ac:dyDescent="0.25">
      <c r="B14038" s="1"/>
    </row>
    <row r="14039" spans="2:2" x14ac:dyDescent="0.25">
      <c r="B14039" s="1"/>
    </row>
    <row r="14040" spans="2:2" x14ac:dyDescent="0.25">
      <c r="B14040" s="1"/>
    </row>
    <row r="14041" spans="2:2" x14ac:dyDescent="0.25">
      <c r="B14041" s="1"/>
    </row>
    <row r="14042" spans="2:2" x14ac:dyDescent="0.25">
      <c r="B14042" s="1"/>
    </row>
    <row r="14043" spans="2:2" x14ac:dyDescent="0.25">
      <c r="B14043" s="1"/>
    </row>
    <row r="14044" spans="2:2" x14ac:dyDescent="0.25">
      <c r="B14044" s="1"/>
    </row>
    <row r="14045" spans="2:2" x14ac:dyDescent="0.25">
      <c r="B14045" s="1"/>
    </row>
    <row r="14046" spans="2:2" x14ac:dyDescent="0.25">
      <c r="B14046" s="1"/>
    </row>
    <row r="14047" spans="2:2" x14ac:dyDescent="0.25">
      <c r="B14047" s="1"/>
    </row>
    <row r="14048" spans="2:2" x14ac:dyDescent="0.25">
      <c r="B14048" s="1"/>
    </row>
    <row r="14049" spans="2:2" x14ac:dyDescent="0.25">
      <c r="B14049" s="1"/>
    </row>
    <row r="14050" spans="2:2" x14ac:dyDescent="0.25">
      <c r="B14050" s="1"/>
    </row>
    <row r="14051" spans="2:2" x14ac:dyDescent="0.25">
      <c r="B14051" s="1"/>
    </row>
    <row r="14052" spans="2:2" x14ac:dyDescent="0.25">
      <c r="B14052" s="1"/>
    </row>
    <row r="14053" spans="2:2" x14ac:dyDescent="0.25">
      <c r="B14053" s="1"/>
    </row>
    <row r="14054" spans="2:2" x14ac:dyDescent="0.25">
      <c r="B14054" s="1"/>
    </row>
    <row r="14055" spans="2:2" x14ac:dyDescent="0.25">
      <c r="B14055" s="1"/>
    </row>
    <row r="14056" spans="2:2" x14ac:dyDescent="0.25">
      <c r="B14056" s="1"/>
    </row>
    <row r="14057" spans="2:2" x14ac:dyDescent="0.25">
      <c r="B14057" s="1"/>
    </row>
    <row r="14058" spans="2:2" x14ac:dyDescent="0.25">
      <c r="B14058" s="1"/>
    </row>
    <row r="14059" spans="2:2" x14ac:dyDescent="0.25">
      <c r="B14059" s="1"/>
    </row>
    <row r="14060" spans="2:2" x14ac:dyDescent="0.25">
      <c r="B14060" s="1"/>
    </row>
    <row r="14061" spans="2:2" x14ac:dyDescent="0.25">
      <c r="B14061" s="1"/>
    </row>
    <row r="14062" spans="2:2" x14ac:dyDescent="0.25">
      <c r="B14062" s="1"/>
    </row>
    <row r="14063" spans="2:2" x14ac:dyDescent="0.25">
      <c r="B14063" s="1"/>
    </row>
    <row r="14064" spans="2:2" x14ac:dyDescent="0.25">
      <c r="B14064" s="1"/>
    </row>
    <row r="14065" spans="2:2" x14ac:dyDescent="0.25">
      <c r="B14065" s="1"/>
    </row>
    <row r="14066" spans="2:2" x14ac:dyDescent="0.25">
      <c r="B14066" s="1"/>
    </row>
    <row r="14067" spans="2:2" x14ac:dyDescent="0.25">
      <c r="B14067" s="1"/>
    </row>
    <row r="14068" spans="2:2" x14ac:dyDescent="0.25">
      <c r="B14068" s="1"/>
    </row>
    <row r="14069" spans="2:2" x14ac:dyDescent="0.25">
      <c r="B14069" s="1"/>
    </row>
    <row r="14070" spans="2:2" x14ac:dyDescent="0.25">
      <c r="B14070" s="1"/>
    </row>
    <row r="14071" spans="2:2" x14ac:dyDescent="0.25">
      <c r="B14071" s="1"/>
    </row>
    <row r="14072" spans="2:2" x14ac:dyDescent="0.25">
      <c r="B14072" s="1"/>
    </row>
    <row r="14073" spans="2:2" x14ac:dyDescent="0.25">
      <c r="B14073" s="1"/>
    </row>
    <row r="14074" spans="2:2" x14ac:dyDescent="0.25">
      <c r="B14074" s="1"/>
    </row>
    <row r="14075" spans="2:2" x14ac:dyDescent="0.25">
      <c r="B14075" s="1"/>
    </row>
    <row r="14076" spans="2:2" x14ac:dyDescent="0.25">
      <c r="B14076" s="1"/>
    </row>
    <row r="14077" spans="2:2" x14ac:dyDescent="0.25">
      <c r="B14077" s="1"/>
    </row>
    <row r="14078" spans="2:2" x14ac:dyDescent="0.25">
      <c r="B14078" s="1"/>
    </row>
    <row r="14079" spans="2:2" x14ac:dyDescent="0.25">
      <c r="B14079" s="1"/>
    </row>
    <row r="14080" spans="2:2" x14ac:dyDescent="0.25">
      <c r="B14080" s="1"/>
    </row>
    <row r="14081" spans="2:2" x14ac:dyDescent="0.25">
      <c r="B14081" s="1"/>
    </row>
    <row r="14082" spans="2:2" x14ac:dyDescent="0.25">
      <c r="B14082" s="1"/>
    </row>
    <row r="14083" spans="2:2" x14ac:dyDescent="0.25">
      <c r="B14083" s="1"/>
    </row>
    <row r="14084" spans="2:2" x14ac:dyDescent="0.25">
      <c r="B14084" s="1"/>
    </row>
    <row r="14085" spans="2:2" x14ac:dyDescent="0.25">
      <c r="B14085" s="1"/>
    </row>
    <row r="14086" spans="2:2" x14ac:dyDescent="0.25">
      <c r="B14086" s="1"/>
    </row>
    <row r="14087" spans="2:2" x14ac:dyDescent="0.25">
      <c r="B14087" s="1"/>
    </row>
    <row r="14088" spans="2:2" x14ac:dyDescent="0.25">
      <c r="B14088" s="1"/>
    </row>
    <row r="14089" spans="2:2" x14ac:dyDescent="0.25">
      <c r="B14089" s="1"/>
    </row>
    <row r="14090" spans="2:2" x14ac:dyDescent="0.25">
      <c r="B14090" s="1"/>
    </row>
    <row r="14091" spans="2:2" x14ac:dyDescent="0.25">
      <c r="B14091" s="1"/>
    </row>
    <row r="14092" spans="2:2" x14ac:dyDescent="0.25">
      <c r="B14092" s="1"/>
    </row>
    <row r="14093" spans="2:2" x14ac:dyDescent="0.25">
      <c r="B14093" s="1"/>
    </row>
    <row r="14094" spans="2:2" x14ac:dyDescent="0.25">
      <c r="B14094" s="1"/>
    </row>
    <row r="14095" spans="2:2" x14ac:dyDescent="0.25">
      <c r="B14095" s="1"/>
    </row>
    <row r="14096" spans="2:2" x14ac:dyDescent="0.25">
      <c r="B14096" s="1"/>
    </row>
    <row r="14097" spans="2:2" x14ac:dyDescent="0.25">
      <c r="B14097" s="1"/>
    </row>
    <row r="14098" spans="2:2" x14ac:dyDescent="0.25">
      <c r="B14098" s="1"/>
    </row>
    <row r="14099" spans="2:2" x14ac:dyDescent="0.25">
      <c r="B14099" s="1"/>
    </row>
    <row r="14100" spans="2:2" x14ac:dyDescent="0.25">
      <c r="B14100" s="1"/>
    </row>
    <row r="14101" spans="2:2" x14ac:dyDescent="0.25">
      <c r="B14101" s="1"/>
    </row>
    <row r="14102" spans="2:2" x14ac:dyDescent="0.25">
      <c r="B14102" s="1"/>
    </row>
    <row r="14103" spans="2:2" x14ac:dyDescent="0.25">
      <c r="B14103" s="1"/>
    </row>
    <row r="14104" spans="2:2" x14ac:dyDescent="0.25">
      <c r="B14104" s="1"/>
    </row>
    <row r="14105" spans="2:2" x14ac:dyDescent="0.25">
      <c r="B14105" s="1"/>
    </row>
    <row r="14106" spans="2:2" x14ac:dyDescent="0.25">
      <c r="B14106" s="1"/>
    </row>
    <row r="14107" spans="2:2" x14ac:dyDescent="0.25">
      <c r="B14107" s="1"/>
    </row>
    <row r="14108" spans="2:2" x14ac:dyDescent="0.25">
      <c r="B14108" s="1"/>
    </row>
    <row r="14109" spans="2:2" x14ac:dyDescent="0.25">
      <c r="B14109" s="1"/>
    </row>
    <row r="14110" spans="2:2" x14ac:dyDescent="0.25">
      <c r="B14110" s="1"/>
    </row>
    <row r="14111" spans="2:2" x14ac:dyDescent="0.25">
      <c r="B14111" s="1"/>
    </row>
    <row r="14112" spans="2:2" x14ac:dyDescent="0.25">
      <c r="B14112" s="1"/>
    </row>
    <row r="14113" spans="2:2" x14ac:dyDescent="0.25">
      <c r="B14113" s="1"/>
    </row>
    <row r="14114" spans="2:2" x14ac:dyDescent="0.25">
      <c r="B14114" s="1"/>
    </row>
    <row r="14115" spans="2:2" x14ac:dyDescent="0.25">
      <c r="B14115" s="1"/>
    </row>
    <row r="14116" spans="2:2" x14ac:dyDescent="0.25">
      <c r="B14116" s="1"/>
    </row>
    <row r="14117" spans="2:2" x14ac:dyDescent="0.25">
      <c r="B14117" s="1"/>
    </row>
    <row r="14118" spans="2:2" x14ac:dyDescent="0.25">
      <c r="B14118" s="1"/>
    </row>
    <row r="14119" spans="2:2" x14ac:dyDescent="0.25">
      <c r="B14119" s="1"/>
    </row>
    <row r="14120" spans="2:2" x14ac:dyDescent="0.25">
      <c r="B14120" s="1"/>
    </row>
    <row r="14121" spans="2:2" x14ac:dyDescent="0.25">
      <c r="B14121" s="1"/>
    </row>
    <row r="14122" spans="2:2" x14ac:dyDescent="0.25">
      <c r="B14122" s="1"/>
    </row>
    <row r="14123" spans="2:2" x14ac:dyDescent="0.25">
      <c r="B14123" s="1"/>
    </row>
    <row r="14124" spans="2:2" x14ac:dyDescent="0.25">
      <c r="B14124" s="1"/>
    </row>
    <row r="14125" spans="2:2" x14ac:dyDescent="0.25">
      <c r="B14125" s="1"/>
    </row>
    <row r="14126" spans="2:2" x14ac:dyDescent="0.25">
      <c r="B14126" s="1"/>
    </row>
    <row r="14127" spans="2:2" x14ac:dyDescent="0.25">
      <c r="B14127" s="1"/>
    </row>
    <row r="14128" spans="2:2" x14ac:dyDescent="0.25">
      <c r="B14128" s="1"/>
    </row>
    <row r="14129" spans="2:2" x14ac:dyDescent="0.25">
      <c r="B14129" s="1"/>
    </row>
    <row r="14130" spans="2:2" x14ac:dyDescent="0.25">
      <c r="B14130" s="1"/>
    </row>
    <row r="14131" spans="2:2" x14ac:dyDescent="0.25">
      <c r="B14131" s="1"/>
    </row>
    <row r="14132" spans="2:2" x14ac:dyDescent="0.25">
      <c r="B14132" s="1"/>
    </row>
    <row r="14133" spans="2:2" x14ac:dyDescent="0.25">
      <c r="B14133" s="1"/>
    </row>
    <row r="14134" spans="2:2" x14ac:dyDescent="0.25">
      <c r="B14134" s="1"/>
    </row>
    <row r="14135" spans="2:2" x14ac:dyDescent="0.25">
      <c r="B14135" s="1"/>
    </row>
    <row r="14136" spans="2:2" x14ac:dyDescent="0.25">
      <c r="B14136" s="1"/>
    </row>
    <row r="14137" spans="2:2" x14ac:dyDescent="0.25">
      <c r="B14137" s="1"/>
    </row>
    <row r="14138" spans="2:2" x14ac:dyDescent="0.25">
      <c r="B14138" s="1"/>
    </row>
    <row r="14139" spans="2:2" x14ac:dyDescent="0.25">
      <c r="B14139" s="1"/>
    </row>
    <row r="14140" spans="2:2" x14ac:dyDescent="0.25">
      <c r="B14140" s="1"/>
    </row>
    <row r="14141" spans="2:2" x14ac:dyDescent="0.25">
      <c r="B14141" s="1"/>
    </row>
    <row r="14142" spans="2:2" x14ac:dyDescent="0.25">
      <c r="B14142" s="1"/>
    </row>
    <row r="14143" spans="2:2" x14ac:dyDescent="0.25">
      <c r="B14143" s="1"/>
    </row>
    <row r="14144" spans="2:2" x14ac:dyDescent="0.25">
      <c r="B14144" s="1"/>
    </row>
    <row r="14145" spans="2:2" x14ac:dyDescent="0.25">
      <c r="B14145" s="1"/>
    </row>
    <row r="14146" spans="2:2" x14ac:dyDescent="0.25">
      <c r="B14146" s="1"/>
    </row>
    <row r="14147" spans="2:2" x14ac:dyDescent="0.25">
      <c r="B14147" s="1"/>
    </row>
    <row r="14148" spans="2:2" x14ac:dyDescent="0.25">
      <c r="B14148" s="1"/>
    </row>
    <row r="14149" spans="2:2" x14ac:dyDescent="0.25">
      <c r="B14149" s="1"/>
    </row>
    <row r="14150" spans="2:2" x14ac:dyDescent="0.25">
      <c r="B14150" s="1"/>
    </row>
    <row r="14151" spans="2:2" x14ac:dyDescent="0.25">
      <c r="B14151" s="1"/>
    </row>
    <row r="14152" spans="2:2" x14ac:dyDescent="0.25">
      <c r="B14152" s="1"/>
    </row>
    <row r="14153" spans="2:2" x14ac:dyDescent="0.25">
      <c r="B14153" s="1"/>
    </row>
    <row r="14154" spans="2:2" x14ac:dyDescent="0.25">
      <c r="B14154" s="1"/>
    </row>
    <row r="14155" spans="2:2" x14ac:dyDescent="0.25">
      <c r="B14155" s="1"/>
    </row>
    <row r="14156" spans="2:2" x14ac:dyDescent="0.25">
      <c r="B14156" s="1"/>
    </row>
    <row r="14157" spans="2:2" x14ac:dyDescent="0.25">
      <c r="B14157" s="1"/>
    </row>
    <row r="14158" spans="2:2" x14ac:dyDescent="0.25">
      <c r="B14158" s="1"/>
    </row>
    <row r="14159" spans="2:2" x14ac:dyDescent="0.25">
      <c r="B14159" s="1"/>
    </row>
    <row r="14160" spans="2:2" x14ac:dyDescent="0.25">
      <c r="B14160" s="1"/>
    </row>
    <row r="14161" spans="2:2" x14ac:dyDescent="0.25">
      <c r="B14161" s="1"/>
    </row>
    <row r="14162" spans="2:2" x14ac:dyDescent="0.25">
      <c r="B14162" s="1"/>
    </row>
    <row r="14163" spans="2:2" x14ac:dyDescent="0.25">
      <c r="B14163" s="1"/>
    </row>
    <row r="14164" spans="2:2" x14ac:dyDescent="0.25">
      <c r="B14164" s="1"/>
    </row>
    <row r="14165" spans="2:2" x14ac:dyDescent="0.25">
      <c r="B14165" s="1"/>
    </row>
    <row r="14166" spans="2:2" x14ac:dyDescent="0.25">
      <c r="B14166" s="1"/>
    </row>
    <row r="14167" spans="2:2" x14ac:dyDescent="0.25">
      <c r="B14167" s="1"/>
    </row>
    <row r="14168" spans="2:2" x14ac:dyDescent="0.25">
      <c r="B14168" s="1"/>
    </row>
    <row r="14169" spans="2:2" x14ac:dyDescent="0.25">
      <c r="B14169" s="1"/>
    </row>
    <row r="14170" spans="2:2" x14ac:dyDescent="0.25">
      <c r="B14170" s="1"/>
    </row>
    <row r="14171" spans="2:2" x14ac:dyDescent="0.25">
      <c r="B14171" s="1"/>
    </row>
    <row r="14172" spans="2:2" x14ac:dyDescent="0.25">
      <c r="B14172" s="1"/>
    </row>
    <row r="14173" spans="2:2" x14ac:dyDescent="0.25">
      <c r="B14173" s="1"/>
    </row>
    <row r="14174" spans="2:2" x14ac:dyDescent="0.25">
      <c r="B14174" s="1"/>
    </row>
    <row r="14175" spans="2:2" x14ac:dyDescent="0.25">
      <c r="B14175" s="1"/>
    </row>
    <row r="14176" spans="2:2" x14ac:dyDescent="0.25">
      <c r="B14176" s="1"/>
    </row>
    <row r="14177" spans="2:2" x14ac:dyDescent="0.25">
      <c r="B14177" s="1"/>
    </row>
    <row r="14178" spans="2:2" x14ac:dyDescent="0.25">
      <c r="B14178" s="1"/>
    </row>
    <row r="14179" spans="2:2" x14ac:dyDescent="0.25">
      <c r="B14179" s="1"/>
    </row>
    <row r="14180" spans="2:2" x14ac:dyDescent="0.25">
      <c r="B14180" s="1"/>
    </row>
    <row r="14181" spans="2:2" x14ac:dyDescent="0.25">
      <c r="B14181" s="1"/>
    </row>
    <row r="14182" spans="2:2" x14ac:dyDescent="0.25">
      <c r="B14182" s="1"/>
    </row>
    <row r="14183" spans="2:2" x14ac:dyDescent="0.25">
      <c r="B14183" s="1"/>
    </row>
    <row r="14184" spans="2:2" x14ac:dyDescent="0.25">
      <c r="B14184" s="1"/>
    </row>
    <row r="14185" spans="2:2" x14ac:dyDescent="0.25">
      <c r="B14185" s="1"/>
    </row>
    <row r="14186" spans="2:2" x14ac:dyDescent="0.25">
      <c r="B14186" s="1"/>
    </row>
    <row r="14187" spans="2:2" x14ac:dyDescent="0.25">
      <c r="B14187" s="1"/>
    </row>
    <row r="14188" spans="2:2" x14ac:dyDescent="0.25">
      <c r="B14188" s="1"/>
    </row>
    <row r="14189" spans="2:2" x14ac:dyDescent="0.25">
      <c r="B14189" s="1"/>
    </row>
    <row r="14190" spans="2:2" x14ac:dyDescent="0.25">
      <c r="B14190" s="1"/>
    </row>
    <row r="14191" spans="2:2" x14ac:dyDescent="0.25">
      <c r="B14191" s="1"/>
    </row>
    <row r="14192" spans="2:2" x14ac:dyDescent="0.25">
      <c r="B14192" s="1"/>
    </row>
    <row r="14193" spans="2:2" x14ac:dyDescent="0.25">
      <c r="B14193" s="1"/>
    </row>
    <row r="14194" spans="2:2" x14ac:dyDescent="0.25">
      <c r="B14194" s="1"/>
    </row>
    <row r="14195" spans="2:2" x14ac:dyDescent="0.25">
      <c r="B14195" s="1"/>
    </row>
    <row r="14196" spans="2:2" x14ac:dyDescent="0.25">
      <c r="B14196" s="1"/>
    </row>
    <row r="14197" spans="2:2" x14ac:dyDescent="0.25">
      <c r="B14197" s="1"/>
    </row>
    <row r="14198" spans="2:2" x14ac:dyDescent="0.25">
      <c r="B14198" s="1"/>
    </row>
    <row r="14199" spans="2:2" x14ac:dyDescent="0.25">
      <c r="B14199" s="1"/>
    </row>
    <row r="14200" spans="2:2" x14ac:dyDescent="0.25">
      <c r="B14200" s="1"/>
    </row>
    <row r="14201" spans="2:2" x14ac:dyDescent="0.25">
      <c r="B14201" s="1"/>
    </row>
    <row r="14202" spans="2:2" x14ac:dyDescent="0.25">
      <c r="B14202" s="1"/>
    </row>
    <row r="14203" spans="2:2" x14ac:dyDescent="0.25">
      <c r="B14203" s="1"/>
    </row>
    <row r="14204" spans="2:2" x14ac:dyDescent="0.25">
      <c r="B14204" s="1"/>
    </row>
    <row r="14205" spans="2:2" x14ac:dyDescent="0.25">
      <c r="B14205" s="1"/>
    </row>
    <row r="14206" spans="2:2" x14ac:dyDescent="0.25">
      <c r="B14206" s="1"/>
    </row>
    <row r="14207" spans="2:2" x14ac:dyDescent="0.25">
      <c r="B14207" s="1"/>
    </row>
    <row r="14208" spans="2:2" x14ac:dyDescent="0.25">
      <c r="B14208" s="1"/>
    </row>
    <row r="14209" spans="2:2" x14ac:dyDescent="0.25">
      <c r="B14209" s="1"/>
    </row>
    <row r="14210" spans="2:2" x14ac:dyDescent="0.25">
      <c r="B14210" s="1"/>
    </row>
    <row r="14211" spans="2:2" x14ac:dyDescent="0.25">
      <c r="B14211" s="1"/>
    </row>
    <row r="14212" spans="2:2" x14ac:dyDescent="0.25">
      <c r="B14212" s="1"/>
    </row>
    <row r="14213" spans="2:2" x14ac:dyDescent="0.25">
      <c r="B14213" s="1"/>
    </row>
    <row r="14214" spans="2:2" x14ac:dyDescent="0.25">
      <c r="B14214" s="1"/>
    </row>
    <row r="14215" spans="2:2" x14ac:dyDescent="0.25">
      <c r="B14215" s="1"/>
    </row>
    <row r="14216" spans="2:2" x14ac:dyDescent="0.25">
      <c r="B14216" s="1"/>
    </row>
    <row r="14217" spans="2:2" x14ac:dyDescent="0.25">
      <c r="B14217" s="1"/>
    </row>
    <row r="14218" spans="2:2" x14ac:dyDescent="0.25">
      <c r="B14218" s="1"/>
    </row>
    <row r="14219" spans="2:2" x14ac:dyDescent="0.25">
      <c r="B14219" s="1"/>
    </row>
    <row r="14220" spans="2:2" x14ac:dyDescent="0.25">
      <c r="B14220" s="1"/>
    </row>
    <row r="14221" spans="2:2" x14ac:dyDescent="0.25">
      <c r="B14221" s="1"/>
    </row>
    <row r="14222" spans="2:2" x14ac:dyDescent="0.25">
      <c r="B14222" s="1"/>
    </row>
    <row r="14223" spans="2:2" x14ac:dyDescent="0.25">
      <c r="B14223" s="1"/>
    </row>
    <row r="14224" spans="2:2" x14ac:dyDescent="0.25">
      <c r="B14224" s="1"/>
    </row>
    <row r="14225" spans="2:2" x14ac:dyDescent="0.25">
      <c r="B14225" s="1"/>
    </row>
    <row r="14226" spans="2:2" x14ac:dyDescent="0.25">
      <c r="B14226" s="1"/>
    </row>
    <row r="14227" spans="2:2" x14ac:dyDescent="0.25">
      <c r="B14227" s="1"/>
    </row>
    <row r="14228" spans="2:2" x14ac:dyDescent="0.25">
      <c r="B14228" s="1"/>
    </row>
    <row r="14229" spans="2:2" x14ac:dyDescent="0.25">
      <c r="B14229" s="1"/>
    </row>
    <row r="14230" spans="2:2" x14ac:dyDescent="0.25">
      <c r="B14230" s="1"/>
    </row>
    <row r="14231" spans="2:2" x14ac:dyDescent="0.25">
      <c r="B14231" s="1"/>
    </row>
    <row r="14232" spans="2:2" x14ac:dyDescent="0.25">
      <c r="B14232" s="1"/>
    </row>
    <row r="14233" spans="2:2" x14ac:dyDescent="0.25">
      <c r="B14233" s="1"/>
    </row>
    <row r="14234" spans="2:2" x14ac:dyDescent="0.25">
      <c r="B14234" s="1"/>
    </row>
    <row r="14235" spans="2:2" x14ac:dyDescent="0.25">
      <c r="B14235" s="1"/>
    </row>
    <row r="14236" spans="2:2" x14ac:dyDescent="0.25">
      <c r="B14236" s="1"/>
    </row>
    <row r="14237" spans="2:2" x14ac:dyDescent="0.25">
      <c r="B14237" s="1"/>
    </row>
    <row r="14238" spans="2:2" x14ac:dyDescent="0.25">
      <c r="B14238" s="1"/>
    </row>
    <row r="14239" spans="2:2" x14ac:dyDescent="0.25">
      <c r="B14239" s="1"/>
    </row>
    <row r="14240" spans="2:2" x14ac:dyDescent="0.25">
      <c r="B14240" s="1"/>
    </row>
    <row r="14241" spans="2:2" x14ac:dyDescent="0.25">
      <c r="B14241" s="1"/>
    </row>
    <row r="14242" spans="2:2" x14ac:dyDescent="0.25">
      <c r="B14242" s="1"/>
    </row>
    <row r="14243" spans="2:2" x14ac:dyDescent="0.25">
      <c r="B14243" s="1"/>
    </row>
    <row r="14244" spans="2:2" x14ac:dyDescent="0.25">
      <c r="B14244" s="1"/>
    </row>
    <row r="14245" spans="2:2" x14ac:dyDescent="0.25">
      <c r="B14245" s="1"/>
    </row>
    <row r="14246" spans="2:2" x14ac:dyDescent="0.25">
      <c r="B14246" s="1"/>
    </row>
    <row r="14247" spans="2:2" x14ac:dyDescent="0.25">
      <c r="B14247" s="1"/>
    </row>
    <row r="14248" spans="2:2" x14ac:dyDescent="0.25">
      <c r="B14248" s="1"/>
    </row>
    <row r="14249" spans="2:2" x14ac:dyDescent="0.25">
      <c r="B14249" s="1"/>
    </row>
    <row r="14250" spans="2:2" x14ac:dyDescent="0.25">
      <c r="B14250" s="1"/>
    </row>
    <row r="14251" spans="2:2" x14ac:dyDescent="0.25">
      <c r="B14251" s="1"/>
    </row>
    <row r="14252" spans="2:2" x14ac:dyDescent="0.25">
      <c r="B14252" s="1"/>
    </row>
    <row r="14253" spans="2:2" x14ac:dyDescent="0.25">
      <c r="B14253" s="1"/>
    </row>
    <row r="14254" spans="2:2" x14ac:dyDescent="0.25">
      <c r="B14254" s="1"/>
    </row>
    <row r="14255" spans="2:2" x14ac:dyDescent="0.25">
      <c r="B14255" s="1"/>
    </row>
    <row r="14256" spans="2:2" x14ac:dyDescent="0.25">
      <c r="B14256" s="1"/>
    </row>
    <row r="14257" spans="2:2" x14ac:dyDescent="0.25">
      <c r="B14257" s="1"/>
    </row>
    <row r="14258" spans="2:2" x14ac:dyDescent="0.25">
      <c r="B14258" s="1"/>
    </row>
    <row r="14259" spans="2:2" x14ac:dyDescent="0.25">
      <c r="B14259" s="1"/>
    </row>
    <row r="14260" spans="2:2" x14ac:dyDescent="0.25">
      <c r="B14260" s="1"/>
    </row>
    <row r="14261" spans="2:2" x14ac:dyDescent="0.25">
      <c r="B14261" s="1"/>
    </row>
    <row r="14262" spans="2:2" x14ac:dyDescent="0.25">
      <c r="B14262" s="1"/>
    </row>
    <row r="14263" spans="2:2" x14ac:dyDescent="0.25">
      <c r="B14263" s="1"/>
    </row>
    <row r="14264" spans="2:2" x14ac:dyDescent="0.25">
      <c r="B14264" s="1"/>
    </row>
    <row r="14265" spans="2:2" x14ac:dyDescent="0.25">
      <c r="B14265" s="1"/>
    </row>
    <row r="14266" spans="2:2" x14ac:dyDescent="0.25">
      <c r="B14266" s="1"/>
    </row>
    <row r="14267" spans="2:2" x14ac:dyDescent="0.25">
      <c r="B14267" s="1"/>
    </row>
    <row r="14268" spans="2:2" x14ac:dyDescent="0.25">
      <c r="B14268" s="1"/>
    </row>
    <row r="14269" spans="2:2" x14ac:dyDescent="0.25">
      <c r="B14269" s="1"/>
    </row>
    <row r="14270" spans="2:2" x14ac:dyDescent="0.25">
      <c r="B14270" s="1"/>
    </row>
    <row r="14271" spans="2:2" x14ac:dyDescent="0.25">
      <c r="B14271" s="1"/>
    </row>
    <row r="14272" spans="2:2" x14ac:dyDescent="0.25">
      <c r="B14272" s="1"/>
    </row>
    <row r="14273" spans="2:2" x14ac:dyDescent="0.25">
      <c r="B14273" s="1"/>
    </row>
    <row r="14274" spans="2:2" x14ac:dyDescent="0.25">
      <c r="B14274" s="1"/>
    </row>
    <row r="14275" spans="2:2" x14ac:dyDescent="0.25">
      <c r="B14275" s="1"/>
    </row>
    <row r="14276" spans="2:2" x14ac:dyDescent="0.25">
      <c r="B14276" s="1"/>
    </row>
    <row r="14277" spans="2:2" x14ac:dyDescent="0.25">
      <c r="B14277" s="1"/>
    </row>
    <row r="14278" spans="2:2" x14ac:dyDescent="0.25">
      <c r="B14278" s="1"/>
    </row>
    <row r="14279" spans="2:2" x14ac:dyDescent="0.25">
      <c r="B14279" s="1"/>
    </row>
    <row r="14280" spans="2:2" x14ac:dyDescent="0.25">
      <c r="B14280" s="1"/>
    </row>
    <row r="14281" spans="2:2" x14ac:dyDescent="0.25">
      <c r="B14281" s="1"/>
    </row>
    <row r="14282" spans="2:2" x14ac:dyDescent="0.25">
      <c r="B14282" s="1"/>
    </row>
    <row r="14283" spans="2:2" x14ac:dyDescent="0.25">
      <c r="B14283" s="1"/>
    </row>
    <row r="14284" spans="2:2" x14ac:dyDescent="0.25">
      <c r="B14284" s="1"/>
    </row>
    <row r="14285" spans="2:2" x14ac:dyDescent="0.25">
      <c r="B14285" s="1"/>
    </row>
    <row r="14286" spans="2:2" x14ac:dyDescent="0.25">
      <c r="B14286" s="1"/>
    </row>
    <row r="14287" spans="2:2" x14ac:dyDescent="0.25">
      <c r="B14287" s="1"/>
    </row>
    <row r="14288" spans="2:2" x14ac:dyDescent="0.25">
      <c r="B14288" s="1"/>
    </row>
    <row r="14289" spans="2:2" x14ac:dyDescent="0.25">
      <c r="B14289" s="1"/>
    </row>
    <row r="14290" spans="2:2" x14ac:dyDescent="0.25">
      <c r="B14290" s="1"/>
    </row>
    <row r="14291" spans="2:2" x14ac:dyDescent="0.25">
      <c r="B14291" s="1"/>
    </row>
    <row r="14292" spans="2:2" x14ac:dyDescent="0.25">
      <c r="B14292" s="1"/>
    </row>
    <row r="14293" spans="2:2" x14ac:dyDescent="0.25">
      <c r="B14293" s="1"/>
    </row>
    <row r="14294" spans="2:2" x14ac:dyDescent="0.25">
      <c r="B14294" s="1"/>
    </row>
    <row r="14295" spans="2:2" x14ac:dyDescent="0.25">
      <c r="B14295" s="1"/>
    </row>
    <row r="14296" spans="2:2" x14ac:dyDescent="0.25">
      <c r="B14296" s="1"/>
    </row>
    <row r="14297" spans="2:2" x14ac:dyDescent="0.25">
      <c r="B14297" s="1"/>
    </row>
    <row r="14298" spans="2:2" x14ac:dyDescent="0.25">
      <c r="B14298" s="1"/>
    </row>
    <row r="14299" spans="2:2" x14ac:dyDescent="0.25">
      <c r="B14299" s="1"/>
    </row>
    <row r="14300" spans="2:2" x14ac:dyDescent="0.25">
      <c r="B14300" s="1"/>
    </row>
    <row r="14301" spans="2:2" x14ac:dyDescent="0.25">
      <c r="B14301" s="1"/>
    </row>
    <row r="14302" spans="2:2" x14ac:dyDescent="0.25">
      <c r="B14302" s="1"/>
    </row>
    <row r="14303" spans="2:2" x14ac:dyDescent="0.25">
      <c r="B14303" s="1"/>
    </row>
    <row r="14304" spans="2:2" x14ac:dyDescent="0.25">
      <c r="B14304" s="1"/>
    </row>
    <row r="14305" spans="2:2" x14ac:dyDescent="0.25">
      <c r="B14305" s="1"/>
    </row>
    <row r="14306" spans="2:2" x14ac:dyDescent="0.25">
      <c r="B14306" s="1"/>
    </row>
    <row r="14307" spans="2:2" x14ac:dyDescent="0.25">
      <c r="B14307" s="1"/>
    </row>
    <row r="14308" spans="2:2" x14ac:dyDescent="0.25">
      <c r="B14308" s="1"/>
    </row>
    <row r="14309" spans="2:2" x14ac:dyDescent="0.25">
      <c r="B14309" s="1"/>
    </row>
    <row r="14310" spans="2:2" x14ac:dyDescent="0.25">
      <c r="B14310" s="1"/>
    </row>
    <row r="14311" spans="2:2" x14ac:dyDescent="0.25">
      <c r="B14311" s="1"/>
    </row>
    <row r="14312" spans="2:2" x14ac:dyDescent="0.25">
      <c r="B14312" s="1"/>
    </row>
    <row r="14313" spans="2:2" x14ac:dyDescent="0.25">
      <c r="B14313" s="1"/>
    </row>
    <row r="14314" spans="2:2" x14ac:dyDescent="0.25">
      <c r="B14314" s="1"/>
    </row>
    <row r="14315" spans="2:2" x14ac:dyDescent="0.25">
      <c r="B14315" s="1"/>
    </row>
    <row r="14316" spans="2:2" x14ac:dyDescent="0.25">
      <c r="B14316" s="1"/>
    </row>
    <row r="14317" spans="2:2" x14ac:dyDescent="0.25">
      <c r="B14317" s="1"/>
    </row>
    <row r="14318" spans="2:2" x14ac:dyDescent="0.25">
      <c r="B14318" s="1"/>
    </row>
    <row r="14319" spans="2:2" x14ac:dyDescent="0.25">
      <c r="B14319" s="1"/>
    </row>
    <row r="14320" spans="2:2" x14ac:dyDescent="0.25">
      <c r="B14320" s="1"/>
    </row>
    <row r="14321" spans="2:2" x14ac:dyDescent="0.25">
      <c r="B14321" s="1"/>
    </row>
    <row r="14322" spans="2:2" x14ac:dyDescent="0.25">
      <c r="B14322" s="1"/>
    </row>
    <row r="14323" spans="2:2" x14ac:dyDescent="0.25">
      <c r="B14323" s="1"/>
    </row>
    <row r="14324" spans="2:2" x14ac:dyDescent="0.25">
      <c r="B14324" s="1"/>
    </row>
    <row r="14325" spans="2:2" x14ac:dyDescent="0.25">
      <c r="B14325" s="1"/>
    </row>
    <row r="14326" spans="2:2" x14ac:dyDescent="0.25">
      <c r="B14326" s="1"/>
    </row>
    <row r="14327" spans="2:2" x14ac:dyDescent="0.25">
      <c r="B14327" s="1"/>
    </row>
    <row r="14328" spans="2:2" x14ac:dyDescent="0.25">
      <c r="B14328" s="1"/>
    </row>
    <row r="14329" spans="2:2" x14ac:dyDescent="0.25">
      <c r="B14329" s="1"/>
    </row>
    <row r="14330" spans="2:2" x14ac:dyDescent="0.25">
      <c r="B14330" s="1"/>
    </row>
    <row r="14331" spans="2:2" x14ac:dyDescent="0.25">
      <c r="B14331" s="1"/>
    </row>
    <row r="14332" spans="2:2" x14ac:dyDescent="0.25">
      <c r="B14332" s="1"/>
    </row>
    <row r="14333" spans="2:2" x14ac:dyDescent="0.25">
      <c r="B14333" s="1"/>
    </row>
    <row r="14334" spans="2:2" x14ac:dyDescent="0.25">
      <c r="B14334" s="1"/>
    </row>
    <row r="14335" spans="2:2" x14ac:dyDescent="0.25">
      <c r="B14335" s="1"/>
    </row>
    <row r="14336" spans="2:2" x14ac:dyDescent="0.25">
      <c r="B14336" s="1"/>
    </row>
    <row r="14337" spans="2:2" x14ac:dyDescent="0.25">
      <c r="B14337" s="1"/>
    </row>
    <row r="14338" spans="2:2" x14ac:dyDescent="0.25">
      <c r="B14338" s="1"/>
    </row>
    <row r="14339" spans="2:2" x14ac:dyDescent="0.25">
      <c r="B14339" s="1"/>
    </row>
    <row r="14340" spans="2:2" x14ac:dyDescent="0.25">
      <c r="B14340" s="1"/>
    </row>
    <row r="14341" spans="2:2" x14ac:dyDescent="0.25">
      <c r="B14341" s="1"/>
    </row>
    <row r="14342" spans="2:2" x14ac:dyDescent="0.25">
      <c r="B14342" s="1"/>
    </row>
    <row r="14343" spans="2:2" x14ac:dyDescent="0.25">
      <c r="B14343" s="1"/>
    </row>
    <row r="14344" spans="2:2" x14ac:dyDescent="0.25">
      <c r="B14344" s="1"/>
    </row>
    <row r="14345" spans="2:2" x14ac:dyDescent="0.25">
      <c r="B14345" s="1"/>
    </row>
    <row r="14346" spans="2:2" x14ac:dyDescent="0.25">
      <c r="B14346" s="1"/>
    </row>
    <row r="14347" spans="2:2" x14ac:dyDescent="0.25">
      <c r="B14347" s="1"/>
    </row>
    <row r="14348" spans="2:2" x14ac:dyDescent="0.25">
      <c r="B14348" s="1"/>
    </row>
    <row r="14349" spans="2:2" x14ac:dyDescent="0.25">
      <c r="B14349" s="1"/>
    </row>
    <row r="14350" spans="2:2" x14ac:dyDescent="0.25">
      <c r="B14350" s="1"/>
    </row>
    <row r="14351" spans="2:2" x14ac:dyDescent="0.25">
      <c r="B14351" s="1"/>
    </row>
    <row r="14352" spans="2:2" x14ac:dyDescent="0.25">
      <c r="B14352" s="1"/>
    </row>
    <row r="14353" spans="2:2" x14ac:dyDescent="0.25">
      <c r="B14353" s="1"/>
    </row>
    <row r="14354" spans="2:2" x14ac:dyDescent="0.25">
      <c r="B14354" s="1"/>
    </row>
    <row r="14355" spans="2:2" x14ac:dyDescent="0.25">
      <c r="B14355" s="1"/>
    </row>
    <row r="14356" spans="2:2" x14ac:dyDescent="0.25">
      <c r="B14356" s="1"/>
    </row>
    <row r="14357" spans="2:2" x14ac:dyDescent="0.25">
      <c r="B14357" s="1"/>
    </row>
    <row r="14358" spans="2:2" x14ac:dyDescent="0.25">
      <c r="B14358" s="1"/>
    </row>
    <row r="14359" spans="2:2" x14ac:dyDescent="0.25">
      <c r="B14359" s="1"/>
    </row>
    <row r="14360" spans="2:2" x14ac:dyDescent="0.25">
      <c r="B14360" s="1"/>
    </row>
    <row r="14361" spans="2:2" x14ac:dyDescent="0.25">
      <c r="B14361" s="1"/>
    </row>
    <row r="14362" spans="2:2" x14ac:dyDescent="0.25">
      <c r="B14362" s="1"/>
    </row>
    <row r="14363" spans="2:2" x14ac:dyDescent="0.25">
      <c r="B14363" s="1"/>
    </row>
    <row r="14364" spans="2:2" x14ac:dyDescent="0.25">
      <c r="B14364" s="1"/>
    </row>
    <row r="14365" spans="2:2" x14ac:dyDescent="0.25">
      <c r="B14365" s="1"/>
    </row>
    <row r="14366" spans="2:2" x14ac:dyDescent="0.25">
      <c r="B14366" s="1"/>
    </row>
    <row r="14367" spans="2:2" x14ac:dyDescent="0.25">
      <c r="B14367" s="1"/>
    </row>
    <row r="14368" spans="2:2" x14ac:dyDescent="0.25">
      <c r="B14368" s="1"/>
    </row>
    <row r="14369" spans="2:2" x14ac:dyDescent="0.25">
      <c r="B14369" s="1"/>
    </row>
    <row r="14370" spans="2:2" x14ac:dyDescent="0.25">
      <c r="B14370" s="1"/>
    </row>
    <row r="14371" spans="2:2" x14ac:dyDescent="0.25">
      <c r="B14371" s="1"/>
    </row>
    <row r="14372" spans="2:2" x14ac:dyDescent="0.25">
      <c r="B14372" s="1"/>
    </row>
    <row r="14373" spans="2:2" x14ac:dyDescent="0.25">
      <c r="B14373" s="1"/>
    </row>
    <row r="14374" spans="2:2" x14ac:dyDescent="0.25">
      <c r="B14374" s="1"/>
    </row>
    <row r="14375" spans="2:2" x14ac:dyDescent="0.25">
      <c r="B14375" s="1"/>
    </row>
    <row r="14376" spans="2:2" x14ac:dyDescent="0.25">
      <c r="B14376" s="1"/>
    </row>
    <row r="14377" spans="2:2" x14ac:dyDescent="0.25">
      <c r="B14377" s="1"/>
    </row>
    <row r="14378" spans="2:2" x14ac:dyDescent="0.25">
      <c r="B14378" s="1"/>
    </row>
    <row r="14379" spans="2:2" x14ac:dyDescent="0.25">
      <c r="B14379" s="1"/>
    </row>
    <row r="14380" spans="2:2" x14ac:dyDescent="0.25">
      <c r="B14380" s="1"/>
    </row>
    <row r="14381" spans="2:2" x14ac:dyDescent="0.25">
      <c r="B14381" s="1"/>
    </row>
    <row r="14382" spans="2:2" x14ac:dyDescent="0.25">
      <c r="B14382" s="1"/>
    </row>
    <row r="14383" spans="2:2" x14ac:dyDescent="0.25">
      <c r="B14383" s="1"/>
    </row>
    <row r="14384" spans="2:2" x14ac:dyDescent="0.25">
      <c r="B14384" s="1"/>
    </row>
    <row r="14385" spans="2:2" x14ac:dyDescent="0.25">
      <c r="B14385" s="1"/>
    </row>
    <row r="14386" spans="2:2" x14ac:dyDescent="0.25">
      <c r="B14386" s="1"/>
    </row>
    <row r="14387" spans="2:2" x14ac:dyDescent="0.25">
      <c r="B14387" s="1"/>
    </row>
    <row r="14388" spans="2:2" x14ac:dyDescent="0.25">
      <c r="B14388" s="1"/>
    </row>
    <row r="14389" spans="2:2" x14ac:dyDescent="0.25">
      <c r="B14389" s="1"/>
    </row>
    <row r="14390" spans="2:2" x14ac:dyDescent="0.25">
      <c r="B14390" s="1"/>
    </row>
    <row r="14391" spans="2:2" x14ac:dyDescent="0.25">
      <c r="B14391" s="1"/>
    </row>
    <row r="14392" spans="2:2" x14ac:dyDescent="0.25">
      <c r="B14392" s="1"/>
    </row>
    <row r="14393" spans="2:2" x14ac:dyDescent="0.25">
      <c r="B14393" s="1"/>
    </row>
    <row r="14394" spans="2:2" x14ac:dyDescent="0.25">
      <c r="B14394" s="1"/>
    </row>
    <row r="14395" spans="2:2" x14ac:dyDescent="0.25">
      <c r="B14395" s="1"/>
    </row>
    <row r="14396" spans="2:2" x14ac:dyDescent="0.25">
      <c r="B14396" s="1"/>
    </row>
    <row r="14397" spans="2:2" x14ac:dyDescent="0.25">
      <c r="B14397" s="1"/>
    </row>
    <row r="14398" spans="2:2" x14ac:dyDescent="0.25">
      <c r="B14398" s="1"/>
    </row>
    <row r="14399" spans="2:2" x14ac:dyDescent="0.25">
      <c r="B14399" s="1"/>
    </row>
    <row r="14400" spans="2:2" x14ac:dyDescent="0.25">
      <c r="B14400" s="1"/>
    </row>
    <row r="14401" spans="2:2" x14ac:dyDescent="0.25">
      <c r="B14401" s="1"/>
    </row>
    <row r="14402" spans="2:2" x14ac:dyDescent="0.25">
      <c r="B14402" s="1"/>
    </row>
    <row r="14403" spans="2:2" x14ac:dyDescent="0.25">
      <c r="B14403" s="1"/>
    </row>
    <row r="14404" spans="2:2" x14ac:dyDescent="0.25">
      <c r="B14404" s="1"/>
    </row>
    <row r="14405" spans="2:2" x14ac:dyDescent="0.25">
      <c r="B14405" s="1"/>
    </row>
    <row r="14406" spans="2:2" x14ac:dyDescent="0.25">
      <c r="B14406" s="1"/>
    </row>
    <row r="14407" spans="2:2" x14ac:dyDescent="0.25">
      <c r="B14407" s="1"/>
    </row>
    <row r="14408" spans="2:2" x14ac:dyDescent="0.25">
      <c r="B14408" s="1"/>
    </row>
    <row r="14409" spans="2:2" x14ac:dyDescent="0.25">
      <c r="B14409" s="1"/>
    </row>
    <row r="14410" spans="2:2" x14ac:dyDescent="0.25">
      <c r="B14410" s="1"/>
    </row>
    <row r="14411" spans="2:2" x14ac:dyDescent="0.25">
      <c r="B14411" s="1"/>
    </row>
    <row r="14412" spans="2:2" x14ac:dyDescent="0.25">
      <c r="B14412" s="1"/>
    </row>
    <row r="14413" spans="2:2" x14ac:dyDescent="0.25">
      <c r="B14413" s="1"/>
    </row>
    <row r="14414" spans="2:2" x14ac:dyDescent="0.25">
      <c r="B14414" s="1"/>
    </row>
    <row r="14415" spans="2:2" x14ac:dyDescent="0.25">
      <c r="B14415" s="1"/>
    </row>
    <row r="14416" spans="2:2" x14ac:dyDescent="0.25">
      <c r="B14416" s="1"/>
    </row>
    <row r="14417" spans="2:2" x14ac:dyDescent="0.25">
      <c r="B14417" s="1"/>
    </row>
    <row r="14418" spans="2:2" x14ac:dyDescent="0.25">
      <c r="B14418" s="1"/>
    </row>
    <row r="14419" spans="2:2" x14ac:dyDescent="0.25">
      <c r="B14419" s="1"/>
    </row>
    <row r="14420" spans="2:2" x14ac:dyDescent="0.25">
      <c r="B14420" s="1"/>
    </row>
    <row r="14421" spans="2:2" x14ac:dyDescent="0.25">
      <c r="B14421" s="1"/>
    </row>
    <row r="14422" spans="2:2" x14ac:dyDescent="0.25">
      <c r="B14422" s="1"/>
    </row>
    <row r="14423" spans="2:2" x14ac:dyDescent="0.25">
      <c r="B14423" s="1"/>
    </row>
    <row r="14424" spans="2:2" x14ac:dyDescent="0.25">
      <c r="B14424" s="1"/>
    </row>
    <row r="14425" spans="2:2" x14ac:dyDescent="0.25">
      <c r="B14425" s="1"/>
    </row>
    <row r="14426" spans="2:2" x14ac:dyDescent="0.25">
      <c r="B14426" s="1"/>
    </row>
    <row r="14427" spans="2:2" x14ac:dyDescent="0.25">
      <c r="B14427" s="1"/>
    </row>
    <row r="14428" spans="2:2" x14ac:dyDescent="0.25">
      <c r="B14428" s="1"/>
    </row>
    <row r="14429" spans="2:2" x14ac:dyDescent="0.25">
      <c r="B14429" s="1"/>
    </row>
    <row r="14430" spans="2:2" x14ac:dyDescent="0.25">
      <c r="B14430" s="1"/>
    </row>
    <row r="14431" spans="2:2" x14ac:dyDescent="0.25">
      <c r="B14431" s="1"/>
    </row>
    <row r="14432" spans="2:2" x14ac:dyDescent="0.25">
      <c r="B14432" s="1"/>
    </row>
    <row r="14433" spans="2:2" x14ac:dyDescent="0.25">
      <c r="B14433" s="1"/>
    </row>
    <row r="14434" spans="2:2" x14ac:dyDescent="0.25">
      <c r="B14434" s="1"/>
    </row>
    <row r="14435" spans="2:2" x14ac:dyDescent="0.25">
      <c r="B14435" s="1"/>
    </row>
    <row r="14436" spans="2:2" x14ac:dyDescent="0.25">
      <c r="B14436" s="1"/>
    </row>
    <row r="14437" spans="2:2" x14ac:dyDescent="0.25">
      <c r="B14437" s="1"/>
    </row>
    <row r="14438" spans="2:2" x14ac:dyDescent="0.25">
      <c r="B14438" s="1"/>
    </row>
    <row r="14439" spans="2:2" x14ac:dyDescent="0.25">
      <c r="B14439" s="1"/>
    </row>
    <row r="14440" spans="2:2" x14ac:dyDescent="0.25">
      <c r="B14440" s="1"/>
    </row>
    <row r="14441" spans="2:2" x14ac:dyDescent="0.25">
      <c r="B14441" s="1"/>
    </row>
    <row r="14442" spans="2:2" x14ac:dyDescent="0.25">
      <c r="B14442" s="1"/>
    </row>
    <row r="14443" spans="2:2" x14ac:dyDescent="0.25">
      <c r="B14443" s="1"/>
    </row>
    <row r="14444" spans="2:2" x14ac:dyDescent="0.25">
      <c r="B14444" s="1"/>
    </row>
    <row r="14445" spans="2:2" x14ac:dyDescent="0.25">
      <c r="B14445" s="1"/>
    </row>
    <row r="14446" spans="2:2" x14ac:dyDescent="0.25">
      <c r="B14446" s="1"/>
    </row>
    <row r="14447" spans="2:2" x14ac:dyDescent="0.25">
      <c r="B14447" s="1"/>
    </row>
    <row r="14448" spans="2:2" x14ac:dyDescent="0.25">
      <c r="B14448" s="1"/>
    </row>
    <row r="14449" spans="2:2" x14ac:dyDescent="0.25">
      <c r="B14449" s="1"/>
    </row>
    <row r="14450" spans="2:2" x14ac:dyDescent="0.25">
      <c r="B14450" s="1"/>
    </row>
    <row r="14451" spans="2:2" x14ac:dyDescent="0.25">
      <c r="B14451" s="1"/>
    </row>
    <row r="14452" spans="2:2" x14ac:dyDescent="0.25">
      <c r="B14452" s="1"/>
    </row>
    <row r="14453" spans="2:2" x14ac:dyDescent="0.25">
      <c r="B14453" s="1"/>
    </row>
    <row r="14454" spans="2:2" x14ac:dyDescent="0.25">
      <c r="B14454" s="1"/>
    </row>
    <row r="14455" spans="2:2" x14ac:dyDescent="0.25">
      <c r="B14455" s="1"/>
    </row>
    <row r="14456" spans="2:2" x14ac:dyDescent="0.25">
      <c r="B14456" s="1"/>
    </row>
    <row r="14457" spans="2:2" x14ac:dyDescent="0.25">
      <c r="B14457" s="1"/>
    </row>
    <row r="14458" spans="2:2" x14ac:dyDescent="0.25">
      <c r="B14458" s="1"/>
    </row>
    <row r="14459" spans="2:2" x14ac:dyDescent="0.25">
      <c r="B14459" s="1"/>
    </row>
    <row r="14460" spans="2:2" x14ac:dyDescent="0.25">
      <c r="B14460" s="1"/>
    </row>
    <row r="14461" spans="2:2" x14ac:dyDescent="0.25">
      <c r="B14461" s="1"/>
    </row>
    <row r="14462" spans="2:2" x14ac:dyDescent="0.25">
      <c r="B14462" s="1"/>
    </row>
    <row r="14463" spans="2:2" x14ac:dyDescent="0.25">
      <c r="B14463" s="1"/>
    </row>
    <row r="14464" spans="2:2" x14ac:dyDescent="0.25">
      <c r="B14464" s="1"/>
    </row>
    <row r="14465" spans="2:2" x14ac:dyDescent="0.25">
      <c r="B14465" s="1"/>
    </row>
    <row r="14466" spans="2:2" x14ac:dyDescent="0.25">
      <c r="B14466" s="1"/>
    </row>
    <row r="14467" spans="2:2" x14ac:dyDescent="0.25">
      <c r="B14467" s="1"/>
    </row>
    <row r="14468" spans="2:2" x14ac:dyDescent="0.25">
      <c r="B14468" s="1"/>
    </row>
    <row r="14469" spans="2:2" x14ac:dyDescent="0.25">
      <c r="B14469" s="1"/>
    </row>
    <row r="14470" spans="2:2" x14ac:dyDescent="0.25">
      <c r="B14470" s="1"/>
    </row>
    <row r="14471" spans="2:2" x14ac:dyDescent="0.25">
      <c r="B14471" s="1"/>
    </row>
    <row r="14472" spans="2:2" x14ac:dyDescent="0.25">
      <c r="B14472" s="1"/>
    </row>
    <row r="14473" spans="2:2" x14ac:dyDescent="0.25">
      <c r="B14473" s="1"/>
    </row>
    <row r="14474" spans="2:2" x14ac:dyDescent="0.25">
      <c r="B14474" s="1"/>
    </row>
    <row r="14475" spans="2:2" x14ac:dyDescent="0.25">
      <c r="B14475" s="1"/>
    </row>
    <row r="14476" spans="2:2" x14ac:dyDescent="0.25">
      <c r="B14476" s="1"/>
    </row>
    <row r="14477" spans="2:2" x14ac:dyDescent="0.25">
      <c r="B14477" s="1"/>
    </row>
    <row r="14478" spans="2:2" x14ac:dyDescent="0.25">
      <c r="B14478" s="1"/>
    </row>
    <row r="14479" spans="2:2" x14ac:dyDescent="0.25">
      <c r="B14479" s="1"/>
    </row>
    <row r="14480" spans="2:2" x14ac:dyDescent="0.25">
      <c r="B14480" s="1"/>
    </row>
    <row r="14481" spans="2:2" x14ac:dyDescent="0.25">
      <c r="B14481" s="1"/>
    </row>
    <row r="14482" spans="2:2" x14ac:dyDescent="0.25">
      <c r="B14482" s="1"/>
    </row>
    <row r="14483" spans="2:2" x14ac:dyDescent="0.25">
      <c r="B14483" s="1"/>
    </row>
    <row r="14484" spans="2:2" x14ac:dyDescent="0.25">
      <c r="B14484" s="1"/>
    </row>
    <row r="14485" spans="2:2" x14ac:dyDescent="0.25">
      <c r="B14485" s="1"/>
    </row>
    <row r="14486" spans="2:2" x14ac:dyDescent="0.25">
      <c r="B14486" s="1"/>
    </row>
    <row r="14487" spans="2:2" x14ac:dyDescent="0.25">
      <c r="B14487" s="1"/>
    </row>
    <row r="14488" spans="2:2" x14ac:dyDescent="0.25">
      <c r="B14488" s="1"/>
    </row>
    <row r="14489" spans="2:2" x14ac:dyDescent="0.25">
      <c r="B14489" s="1"/>
    </row>
    <row r="14490" spans="2:2" x14ac:dyDescent="0.25">
      <c r="B14490" s="1"/>
    </row>
    <row r="14491" spans="2:2" x14ac:dyDescent="0.25">
      <c r="B14491" s="1"/>
    </row>
    <row r="14492" spans="2:2" x14ac:dyDescent="0.25">
      <c r="B14492" s="1"/>
    </row>
    <row r="14493" spans="2:2" x14ac:dyDescent="0.25">
      <c r="B14493" s="1"/>
    </row>
    <row r="14494" spans="2:2" x14ac:dyDescent="0.25">
      <c r="B14494" s="1"/>
    </row>
    <row r="14495" spans="2:2" x14ac:dyDescent="0.25">
      <c r="B14495" s="1"/>
    </row>
    <row r="14496" spans="2:2" x14ac:dyDescent="0.25">
      <c r="B14496" s="1"/>
    </row>
    <row r="14497" spans="2:2" x14ac:dyDescent="0.25">
      <c r="B14497" s="1"/>
    </row>
    <row r="14498" spans="2:2" x14ac:dyDescent="0.25">
      <c r="B14498" s="1"/>
    </row>
    <row r="14499" spans="2:2" x14ac:dyDescent="0.25">
      <c r="B14499" s="1"/>
    </row>
    <row r="14500" spans="2:2" x14ac:dyDescent="0.25">
      <c r="B14500" s="1"/>
    </row>
    <row r="14501" spans="2:2" x14ac:dyDescent="0.25">
      <c r="B14501" s="1"/>
    </row>
    <row r="14502" spans="2:2" x14ac:dyDescent="0.25">
      <c r="B14502" s="1"/>
    </row>
    <row r="14503" spans="2:2" x14ac:dyDescent="0.25">
      <c r="B14503" s="1"/>
    </row>
    <row r="14504" spans="2:2" x14ac:dyDescent="0.25">
      <c r="B14504" s="1"/>
    </row>
    <row r="14505" spans="2:2" x14ac:dyDescent="0.25">
      <c r="B14505" s="1"/>
    </row>
    <row r="14506" spans="2:2" x14ac:dyDescent="0.25">
      <c r="B14506" s="1"/>
    </row>
    <row r="14507" spans="2:2" x14ac:dyDescent="0.25">
      <c r="B14507" s="1"/>
    </row>
    <row r="14508" spans="2:2" x14ac:dyDescent="0.25">
      <c r="B14508" s="1"/>
    </row>
    <row r="14509" spans="2:2" x14ac:dyDescent="0.25">
      <c r="B14509" s="1"/>
    </row>
    <row r="14510" spans="2:2" x14ac:dyDescent="0.25">
      <c r="B14510" s="1"/>
    </row>
    <row r="14511" spans="2:2" x14ac:dyDescent="0.25">
      <c r="B14511" s="1"/>
    </row>
    <row r="14512" spans="2:2" x14ac:dyDescent="0.25">
      <c r="B14512" s="1"/>
    </row>
    <row r="14513" spans="2:2" x14ac:dyDescent="0.25">
      <c r="B14513" s="1"/>
    </row>
    <row r="14514" spans="2:2" x14ac:dyDescent="0.25">
      <c r="B14514" s="1"/>
    </row>
    <row r="14515" spans="2:2" x14ac:dyDescent="0.25">
      <c r="B14515" s="1"/>
    </row>
    <row r="14516" spans="2:2" x14ac:dyDescent="0.25">
      <c r="B14516" s="1"/>
    </row>
    <row r="14517" spans="2:2" x14ac:dyDescent="0.25">
      <c r="B14517" s="1"/>
    </row>
    <row r="14518" spans="2:2" x14ac:dyDescent="0.25">
      <c r="B14518" s="1"/>
    </row>
    <row r="14519" spans="2:2" x14ac:dyDescent="0.25">
      <c r="B14519" s="1"/>
    </row>
    <row r="14520" spans="2:2" x14ac:dyDescent="0.25">
      <c r="B14520" s="1"/>
    </row>
    <row r="14521" spans="2:2" x14ac:dyDescent="0.25">
      <c r="B14521" s="1"/>
    </row>
    <row r="14522" spans="2:2" x14ac:dyDescent="0.25">
      <c r="B14522" s="1"/>
    </row>
    <row r="14523" spans="2:2" x14ac:dyDescent="0.25">
      <c r="B14523" s="1"/>
    </row>
    <row r="14524" spans="2:2" x14ac:dyDescent="0.25">
      <c r="B14524" s="1"/>
    </row>
    <row r="14525" spans="2:2" x14ac:dyDescent="0.25">
      <c r="B14525" s="1"/>
    </row>
    <row r="14526" spans="2:2" x14ac:dyDescent="0.25">
      <c r="B14526" s="1"/>
    </row>
    <row r="14527" spans="2:2" x14ac:dyDescent="0.25">
      <c r="B14527" s="1"/>
    </row>
    <row r="14528" spans="2:2" x14ac:dyDescent="0.25">
      <c r="B14528" s="1"/>
    </row>
    <row r="14529" spans="2:2" x14ac:dyDescent="0.25">
      <c r="B14529" s="1"/>
    </row>
    <row r="14530" spans="2:2" x14ac:dyDescent="0.25">
      <c r="B14530" s="1"/>
    </row>
    <row r="14531" spans="2:2" x14ac:dyDescent="0.25">
      <c r="B14531" s="1"/>
    </row>
    <row r="14532" spans="2:2" x14ac:dyDescent="0.25">
      <c r="B14532" s="1"/>
    </row>
    <row r="14533" spans="2:2" x14ac:dyDescent="0.25">
      <c r="B14533" s="1"/>
    </row>
    <row r="14534" spans="2:2" x14ac:dyDescent="0.25">
      <c r="B14534" s="1"/>
    </row>
    <row r="14535" spans="2:2" x14ac:dyDescent="0.25">
      <c r="B14535" s="1"/>
    </row>
    <row r="14536" spans="2:2" x14ac:dyDescent="0.25">
      <c r="B14536" s="1"/>
    </row>
    <row r="14537" spans="2:2" x14ac:dyDescent="0.25">
      <c r="B14537" s="1"/>
    </row>
    <row r="14538" spans="2:2" x14ac:dyDescent="0.25">
      <c r="B14538" s="1"/>
    </row>
    <row r="14539" spans="2:2" x14ac:dyDescent="0.25">
      <c r="B14539" s="1"/>
    </row>
    <row r="14540" spans="2:2" x14ac:dyDescent="0.25">
      <c r="B14540" s="1"/>
    </row>
    <row r="14541" spans="2:2" x14ac:dyDescent="0.25">
      <c r="B14541" s="1"/>
    </row>
    <row r="14542" spans="2:2" x14ac:dyDescent="0.25">
      <c r="B14542" s="1"/>
    </row>
    <row r="14543" spans="2:2" x14ac:dyDescent="0.25">
      <c r="B14543" s="1"/>
    </row>
    <row r="14544" spans="2:2" x14ac:dyDescent="0.25">
      <c r="B14544" s="1"/>
    </row>
    <row r="14545" spans="2:2" x14ac:dyDescent="0.25">
      <c r="B14545" s="1"/>
    </row>
    <row r="14546" spans="2:2" x14ac:dyDescent="0.25">
      <c r="B14546" s="1"/>
    </row>
    <row r="14547" spans="2:2" x14ac:dyDescent="0.25">
      <c r="B14547" s="1"/>
    </row>
    <row r="14548" spans="2:2" x14ac:dyDescent="0.25">
      <c r="B14548" s="1"/>
    </row>
    <row r="14549" spans="2:2" x14ac:dyDescent="0.25">
      <c r="B14549" s="1"/>
    </row>
    <row r="14550" spans="2:2" x14ac:dyDescent="0.25">
      <c r="B14550" s="1"/>
    </row>
    <row r="14551" spans="2:2" x14ac:dyDescent="0.25">
      <c r="B14551" s="1"/>
    </row>
    <row r="14552" spans="2:2" x14ac:dyDescent="0.25">
      <c r="B14552" s="1"/>
    </row>
    <row r="14553" spans="2:2" x14ac:dyDescent="0.25">
      <c r="B14553" s="1"/>
    </row>
    <row r="14554" spans="2:2" x14ac:dyDescent="0.25">
      <c r="B14554" s="1"/>
    </row>
    <row r="14555" spans="2:2" x14ac:dyDescent="0.25">
      <c r="B14555" s="1"/>
    </row>
    <row r="14556" spans="2:2" x14ac:dyDescent="0.25">
      <c r="B14556" s="1"/>
    </row>
    <row r="14557" spans="2:2" x14ac:dyDescent="0.25">
      <c r="B14557" s="1"/>
    </row>
    <row r="14558" spans="2:2" x14ac:dyDescent="0.25">
      <c r="B14558" s="1"/>
    </row>
    <row r="14559" spans="2:2" x14ac:dyDescent="0.25">
      <c r="B14559" s="1"/>
    </row>
    <row r="14560" spans="2:2" x14ac:dyDescent="0.25">
      <c r="B14560" s="1"/>
    </row>
    <row r="14561" spans="2:2" x14ac:dyDescent="0.25">
      <c r="B14561" s="1"/>
    </row>
    <row r="14562" spans="2:2" x14ac:dyDescent="0.25">
      <c r="B14562" s="1"/>
    </row>
    <row r="14563" spans="2:2" x14ac:dyDescent="0.25">
      <c r="B14563" s="1"/>
    </row>
    <row r="14564" spans="2:2" x14ac:dyDescent="0.25">
      <c r="B14564" s="1"/>
    </row>
    <row r="14565" spans="2:2" x14ac:dyDescent="0.25">
      <c r="B14565" s="1"/>
    </row>
    <row r="14566" spans="2:2" x14ac:dyDescent="0.25">
      <c r="B14566" s="1"/>
    </row>
    <row r="14567" spans="2:2" x14ac:dyDescent="0.25">
      <c r="B14567" s="1"/>
    </row>
    <row r="14568" spans="2:2" x14ac:dyDescent="0.25">
      <c r="B14568" s="1"/>
    </row>
    <row r="14569" spans="2:2" x14ac:dyDescent="0.25">
      <c r="B14569" s="1"/>
    </row>
    <row r="14570" spans="2:2" x14ac:dyDescent="0.25">
      <c r="B14570" s="1"/>
    </row>
    <row r="14571" spans="2:2" x14ac:dyDescent="0.25">
      <c r="B14571" s="1"/>
    </row>
    <row r="14572" spans="2:2" x14ac:dyDescent="0.25">
      <c r="B14572" s="1"/>
    </row>
    <row r="14573" spans="2:2" x14ac:dyDescent="0.25">
      <c r="B14573" s="1"/>
    </row>
    <row r="14574" spans="2:2" x14ac:dyDescent="0.25">
      <c r="B14574" s="1"/>
    </row>
    <row r="14575" spans="2:2" x14ac:dyDescent="0.25">
      <c r="B14575" s="1"/>
    </row>
    <row r="14576" spans="2:2" x14ac:dyDescent="0.25">
      <c r="B14576" s="1"/>
    </row>
    <row r="14577" spans="2:2" x14ac:dyDescent="0.25">
      <c r="B14577" s="1"/>
    </row>
    <row r="14578" spans="2:2" x14ac:dyDescent="0.25">
      <c r="B14578" s="1"/>
    </row>
    <row r="14579" spans="2:2" x14ac:dyDescent="0.25">
      <c r="B14579" s="1"/>
    </row>
    <row r="14580" spans="2:2" x14ac:dyDescent="0.25">
      <c r="B14580" s="1"/>
    </row>
    <row r="14581" spans="2:2" x14ac:dyDescent="0.25">
      <c r="B14581" s="1"/>
    </row>
    <row r="14582" spans="2:2" x14ac:dyDescent="0.25">
      <c r="B14582" s="1"/>
    </row>
    <row r="14583" spans="2:2" x14ac:dyDescent="0.25">
      <c r="B14583" s="1"/>
    </row>
    <row r="14584" spans="2:2" x14ac:dyDescent="0.25">
      <c r="B14584" s="1"/>
    </row>
    <row r="14585" spans="2:2" x14ac:dyDescent="0.25">
      <c r="B14585" s="1"/>
    </row>
    <row r="14586" spans="2:2" x14ac:dyDescent="0.25">
      <c r="B14586" s="1"/>
    </row>
    <row r="14587" spans="2:2" x14ac:dyDescent="0.25">
      <c r="B14587" s="1"/>
    </row>
    <row r="14588" spans="2:2" x14ac:dyDescent="0.25">
      <c r="B14588" s="1"/>
    </row>
    <row r="14589" spans="2:2" x14ac:dyDescent="0.25">
      <c r="B14589" s="1"/>
    </row>
    <row r="14590" spans="2:2" x14ac:dyDescent="0.25">
      <c r="B14590" s="1"/>
    </row>
    <row r="14591" spans="2:2" x14ac:dyDescent="0.25">
      <c r="B14591" s="1"/>
    </row>
    <row r="14592" spans="2:2" x14ac:dyDescent="0.25">
      <c r="B14592" s="1"/>
    </row>
    <row r="14593" spans="2:2" x14ac:dyDescent="0.25">
      <c r="B14593" s="1"/>
    </row>
    <row r="14594" spans="2:2" x14ac:dyDescent="0.25">
      <c r="B14594" s="1"/>
    </row>
    <row r="14595" spans="2:2" x14ac:dyDescent="0.25">
      <c r="B14595" s="1"/>
    </row>
    <row r="14596" spans="2:2" x14ac:dyDescent="0.25">
      <c r="B14596" s="1"/>
    </row>
    <row r="14597" spans="2:2" x14ac:dyDescent="0.25">
      <c r="B14597" s="1"/>
    </row>
    <row r="14598" spans="2:2" x14ac:dyDescent="0.25">
      <c r="B14598" s="1"/>
    </row>
    <row r="14599" spans="2:2" x14ac:dyDescent="0.25">
      <c r="B14599" s="1"/>
    </row>
    <row r="14600" spans="2:2" x14ac:dyDescent="0.25">
      <c r="B14600" s="1"/>
    </row>
    <row r="14601" spans="2:2" x14ac:dyDescent="0.25">
      <c r="B14601" s="1"/>
    </row>
    <row r="14602" spans="2:2" x14ac:dyDescent="0.25">
      <c r="B14602" s="1"/>
    </row>
    <row r="14603" spans="2:2" x14ac:dyDescent="0.25">
      <c r="B14603" s="1"/>
    </row>
    <row r="14604" spans="2:2" x14ac:dyDescent="0.25">
      <c r="B14604" s="1"/>
    </row>
    <row r="14605" spans="2:2" x14ac:dyDescent="0.25">
      <c r="B14605" s="1"/>
    </row>
    <row r="14606" spans="2:2" x14ac:dyDescent="0.25">
      <c r="B14606" s="1"/>
    </row>
    <row r="14607" spans="2:2" x14ac:dyDescent="0.25">
      <c r="B14607" s="1"/>
    </row>
    <row r="14608" spans="2:2" x14ac:dyDescent="0.25">
      <c r="B14608" s="1"/>
    </row>
    <row r="14609" spans="2:2" x14ac:dyDescent="0.25">
      <c r="B14609" s="1"/>
    </row>
    <row r="14610" spans="2:2" x14ac:dyDescent="0.25">
      <c r="B14610" s="1"/>
    </row>
    <row r="14611" spans="2:2" x14ac:dyDescent="0.25">
      <c r="B14611" s="1"/>
    </row>
    <row r="14612" spans="2:2" x14ac:dyDescent="0.25">
      <c r="B14612" s="1"/>
    </row>
    <row r="14613" spans="2:2" x14ac:dyDescent="0.25">
      <c r="B14613" s="1"/>
    </row>
    <row r="14614" spans="2:2" x14ac:dyDescent="0.25">
      <c r="B14614" s="1"/>
    </row>
    <row r="14615" spans="2:2" x14ac:dyDescent="0.25">
      <c r="B14615" s="1"/>
    </row>
    <row r="14616" spans="2:2" x14ac:dyDescent="0.25">
      <c r="B14616" s="1"/>
    </row>
    <row r="14617" spans="2:2" x14ac:dyDescent="0.25">
      <c r="B14617" s="1"/>
    </row>
    <row r="14618" spans="2:2" x14ac:dyDescent="0.25">
      <c r="B14618" s="1"/>
    </row>
    <row r="14619" spans="2:2" x14ac:dyDescent="0.25">
      <c r="B14619" s="1"/>
    </row>
    <row r="14620" spans="2:2" x14ac:dyDescent="0.25">
      <c r="B14620" s="1"/>
    </row>
    <row r="14621" spans="2:2" x14ac:dyDescent="0.25">
      <c r="B14621" s="1"/>
    </row>
    <row r="14622" spans="2:2" x14ac:dyDescent="0.25">
      <c r="B14622" s="1"/>
    </row>
    <row r="14623" spans="2:2" x14ac:dyDescent="0.25">
      <c r="B14623" s="1"/>
    </row>
    <row r="14624" spans="2:2" x14ac:dyDescent="0.25">
      <c r="B14624" s="1"/>
    </row>
    <row r="14625" spans="2:2" x14ac:dyDescent="0.25">
      <c r="B14625" s="1"/>
    </row>
    <row r="14626" spans="2:2" x14ac:dyDescent="0.25">
      <c r="B14626" s="1"/>
    </row>
    <row r="14627" spans="2:2" x14ac:dyDescent="0.25">
      <c r="B14627" s="1"/>
    </row>
    <row r="14628" spans="2:2" x14ac:dyDescent="0.25">
      <c r="B14628" s="1"/>
    </row>
    <row r="14629" spans="2:2" x14ac:dyDescent="0.25">
      <c r="B14629" s="1"/>
    </row>
    <row r="14630" spans="2:2" x14ac:dyDescent="0.25">
      <c r="B14630" s="1"/>
    </row>
    <row r="14631" spans="2:2" x14ac:dyDescent="0.25">
      <c r="B14631" s="1"/>
    </row>
    <row r="14632" spans="2:2" x14ac:dyDescent="0.25">
      <c r="B14632" s="1"/>
    </row>
    <row r="14633" spans="2:2" x14ac:dyDescent="0.25">
      <c r="B14633" s="1"/>
    </row>
    <row r="14634" spans="2:2" x14ac:dyDescent="0.25">
      <c r="B14634" s="1"/>
    </row>
    <row r="14635" spans="2:2" x14ac:dyDescent="0.25">
      <c r="B14635" s="1"/>
    </row>
    <row r="14636" spans="2:2" x14ac:dyDescent="0.25">
      <c r="B14636" s="1"/>
    </row>
    <row r="14637" spans="2:2" x14ac:dyDescent="0.25">
      <c r="B14637" s="1"/>
    </row>
    <row r="14638" spans="2:2" x14ac:dyDescent="0.25">
      <c r="B14638" s="1"/>
    </row>
    <row r="14639" spans="2:2" x14ac:dyDescent="0.25">
      <c r="B14639" s="1"/>
    </row>
    <row r="14640" spans="2:2" x14ac:dyDescent="0.25">
      <c r="B14640" s="1"/>
    </row>
    <row r="14641" spans="2:2" x14ac:dyDescent="0.25">
      <c r="B14641" s="1"/>
    </row>
    <row r="14642" spans="2:2" x14ac:dyDescent="0.25">
      <c r="B14642" s="1"/>
    </row>
    <row r="14643" spans="2:2" x14ac:dyDescent="0.25">
      <c r="B14643" s="1"/>
    </row>
    <row r="14644" spans="2:2" x14ac:dyDescent="0.25">
      <c r="B14644" s="1"/>
    </row>
    <row r="14645" spans="2:2" x14ac:dyDescent="0.25">
      <c r="B14645" s="1"/>
    </row>
    <row r="14646" spans="2:2" x14ac:dyDescent="0.25">
      <c r="B14646" s="1"/>
    </row>
    <row r="14647" spans="2:2" x14ac:dyDescent="0.25">
      <c r="B14647" s="1"/>
    </row>
    <row r="14648" spans="2:2" x14ac:dyDescent="0.25">
      <c r="B14648" s="1"/>
    </row>
    <row r="14649" spans="2:2" x14ac:dyDescent="0.25">
      <c r="B14649" s="1"/>
    </row>
    <row r="14650" spans="2:2" x14ac:dyDescent="0.25">
      <c r="B14650" s="1"/>
    </row>
    <row r="14651" spans="2:2" x14ac:dyDescent="0.25">
      <c r="B14651" s="1"/>
    </row>
    <row r="14652" spans="2:2" x14ac:dyDescent="0.25">
      <c r="B14652" s="1"/>
    </row>
    <row r="14653" spans="2:2" x14ac:dyDescent="0.25">
      <c r="B14653" s="1"/>
    </row>
    <row r="14654" spans="2:2" x14ac:dyDescent="0.25">
      <c r="B14654" s="1"/>
    </row>
    <row r="14655" spans="2:2" x14ac:dyDescent="0.25">
      <c r="B14655" s="1"/>
    </row>
    <row r="14656" spans="2:2" x14ac:dyDescent="0.25">
      <c r="B14656" s="1"/>
    </row>
    <row r="14657" spans="2:2" x14ac:dyDescent="0.25">
      <c r="B14657" s="1"/>
    </row>
    <row r="14658" spans="2:2" x14ac:dyDescent="0.25">
      <c r="B14658" s="1"/>
    </row>
    <row r="14659" spans="2:2" x14ac:dyDescent="0.25">
      <c r="B14659" s="1"/>
    </row>
    <row r="14660" spans="2:2" x14ac:dyDescent="0.25">
      <c r="B14660" s="1"/>
    </row>
    <row r="14661" spans="2:2" x14ac:dyDescent="0.25">
      <c r="B14661" s="1"/>
    </row>
    <row r="14662" spans="2:2" x14ac:dyDescent="0.25">
      <c r="B14662" s="1"/>
    </row>
    <row r="14663" spans="2:2" x14ac:dyDescent="0.25">
      <c r="B14663" s="1"/>
    </row>
    <row r="14664" spans="2:2" x14ac:dyDescent="0.25">
      <c r="B14664" s="1"/>
    </row>
    <row r="14665" spans="2:2" x14ac:dyDescent="0.25">
      <c r="B14665" s="1"/>
    </row>
    <row r="14666" spans="2:2" x14ac:dyDescent="0.25">
      <c r="B14666" s="1"/>
    </row>
    <row r="14667" spans="2:2" x14ac:dyDescent="0.25">
      <c r="B14667" s="1"/>
    </row>
    <row r="14668" spans="2:2" x14ac:dyDescent="0.25">
      <c r="B14668" s="1"/>
    </row>
    <row r="14669" spans="2:2" x14ac:dyDescent="0.25">
      <c r="B14669" s="1"/>
    </row>
    <row r="14670" spans="2:2" x14ac:dyDescent="0.25">
      <c r="B14670" s="1"/>
    </row>
    <row r="14671" spans="2:2" x14ac:dyDescent="0.25">
      <c r="B14671" s="1"/>
    </row>
    <row r="14672" spans="2:2" x14ac:dyDescent="0.25">
      <c r="B14672" s="1"/>
    </row>
    <row r="14673" spans="2:2" x14ac:dyDescent="0.25">
      <c r="B14673" s="1"/>
    </row>
    <row r="14674" spans="2:2" x14ac:dyDescent="0.25">
      <c r="B14674" s="1"/>
    </row>
    <row r="14675" spans="2:2" x14ac:dyDescent="0.25">
      <c r="B14675" s="1"/>
    </row>
    <row r="14676" spans="2:2" x14ac:dyDescent="0.25">
      <c r="B14676" s="1"/>
    </row>
    <row r="14677" spans="2:2" x14ac:dyDescent="0.25">
      <c r="B14677" s="1"/>
    </row>
    <row r="14678" spans="2:2" x14ac:dyDescent="0.25">
      <c r="B14678" s="1"/>
    </row>
    <row r="14679" spans="2:2" x14ac:dyDescent="0.25">
      <c r="B14679" s="1"/>
    </row>
    <row r="14680" spans="2:2" x14ac:dyDescent="0.25">
      <c r="B14680" s="1"/>
    </row>
    <row r="14681" spans="2:2" x14ac:dyDescent="0.25">
      <c r="B14681" s="1"/>
    </row>
    <row r="14682" spans="2:2" x14ac:dyDescent="0.25">
      <c r="B14682" s="1"/>
    </row>
    <row r="14683" spans="2:2" x14ac:dyDescent="0.25">
      <c r="B14683" s="1"/>
    </row>
    <row r="14684" spans="2:2" x14ac:dyDescent="0.25">
      <c r="B14684" s="1"/>
    </row>
    <row r="14685" spans="2:2" x14ac:dyDescent="0.25">
      <c r="B14685" s="1"/>
    </row>
    <row r="14686" spans="2:2" x14ac:dyDescent="0.25">
      <c r="B14686" s="1"/>
    </row>
    <row r="14687" spans="2:2" x14ac:dyDescent="0.25">
      <c r="B14687" s="1"/>
    </row>
    <row r="14688" spans="2:2" x14ac:dyDescent="0.25">
      <c r="B14688" s="1"/>
    </row>
    <row r="14689" spans="2:2" x14ac:dyDescent="0.25">
      <c r="B14689" s="1"/>
    </row>
    <row r="14690" spans="2:2" x14ac:dyDescent="0.25">
      <c r="B14690" s="1"/>
    </row>
    <row r="14691" spans="2:2" x14ac:dyDescent="0.25">
      <c r="B14691" s="1"/>
    </row>
    <row r="14692" spans="2:2" x14ac:dyDescent="0.25">
      <c r="B14692" s="1"/>
    </row>
    <row r="14693" spans="2:2" x14ac:dyDescent="0.25">
      <c r="B14693" s="1"/>
    </row>
    <row r="14694" spans="2:2" x14ac:dyDescent="0.25">
      <c r="B14694" s="1"/>
    </row>
    <row r="14695" spans="2:2" x14ac:dyDescent="0.25">
      <c r="B14695" s="1"/>
    </row>
    <row r="14696" spans="2:2" x14ac:dyDescent="0.25">
      <c r="B14696" s="1"/>
    </row>
    <row r="14697" spans="2:2" x14ac:dyDescent="0.25">
      <c r="B14697" s="1"/>
    </row>
    <row r="14698" spans="2:2" x14ac:dyDescent="0.25">
      <c r="B14698" s="1"/>
    </row>
    <row r="14699" spans="2:2" x14ac:dyDescent="0.25">
      <c r="B14699" s="1"/>
    </row>
    <row r="14700" spans="2:2" x14ac:dyDescent="0.25">
      <c r="B14700" s="1"/>
    </row>
    <row r="14701" spans="2:2" x14ac:dyDescent="0.25">
      <c r="B14701" s="1"/>
    </row>
    <row r="14702" spans="2:2" x14ac:dyDescent="0.25">
      <c r="B14702" s="1"/>
    </row>
    <row r="14703" spans="2:2" x14ac:dyDescent="0.25">
      <c r="B14703" s="1"/>
    </row>
    <row r="14704" spans="2:2" x14ac:dyDescent="0.25">
      <c r="B14704" s="1"/>
    </row>
    <row r="14705" spans="2:2" x14ac:dyDescent="0.25">
      <c r="B14705" s="1"/>
    </row>
    <row r="14706" spans="2:2" x14ac:dyDescent="0.25">
      <c r="B14706" s="1"/>
    </row>
    <row r="14707" spans="2:2" x14ac:dyDescent="0.25">
      <c r="B14707" s="1"/>
    </row>
    <row r="14708" spans="2:2" x14ac:dyDescent="0.25">
      <c r="B14708" s="1"/>
    </row>
    <row r="14709" spans="2:2" x14ac:dyDescent="0.25">
      <c r="B14709" s="1"/>
    </row>
    <row r="14710" spans="2:2" x14ac:dyDescent="0.25">
      <c r="B14710" s="1"/>
    </row>
    <row r="14711" spans="2:2" x14ac:dyDescent="0.25">
      <c r="B14711" s="1"/>
    </row>
    <row r="14712" spans="2:2" x14ac:dyDescent="0.25">
      <c r="B14712" s="1"/>
    </row>
    <row r="14713" spans="2:2" x14ac:dyDescent="0.25">
      <c r="B14713" s="1"/>
    </row>
    <row r="14714" spans="2:2" x14ac:dyDescent="0.25">
      <c r="B14714" s="1"/>
    </row>
    <row r="14715" spans="2:2" x14ac:dyDescent="0.25">
      <c r="B14715" s="1"/>
    </row>
    <row r="14716" spans="2:2" x14ac:dyDescent="0.25">
      <c r="B14716" s="1"/>
    </row>
    <row r="14717" spans="2:2" x14ac:dyDescent="0.25">
      <c r="B14717" s="1"/>
    </row>
    <row r="14718" spans="2:2" x14ac:dyDescent="0.25">
      <c r="B14718" s="1"/>
    </row>
    <row r="14719" spans="2:2" x14ac:dyDescent="0.25">
      <c r="B14719" s="1"/>
    </row>
    <row r="14720" spans="2:2" x14ac:dyDescent="0.25">
      <c r="B14720" s="1"/>
    </row>
    <row r="14721" spans="2:2" x14ac:dyDescent="0.25">
      <c r="B14721" s="1"/>
    </row>
    <row r="14722" spans="2:2" x14ac:dyDescent="0.25">
      <c r="B14722" s="1"/>
    </row>
    <row r="14723" spans="2:2" x14ac:dyDescent="0.25">
      <c r="B14723" s="1"/>
    </row>
    <row r="14724" spans="2:2" x14ac:dyDescent="0.25">
      <c r="B14724" s="1"/>
    </row>
    <row r="14725" spans="2:2" x14ac:dyDescent="0.25">
      <c r="B14725" s="1"/>
    </row>
    <row r="14726" spans="2:2" x14ac:dyDescent="0.25">
      <c r="B14726" s="1"/>
    </row>
    <row r="14727" spans="2:2" x14ac:dyDescent="0.25">
      <c r="B14727" s="1"/>
    </row>
    <row r="14728" spans="2:2" x14ac:dyDescent="0.25">
      <c r="B14728" s="1"/>
    </row>
    <row r="14729" spans="2:2" x14ac:dyDescent="0.25">
      <c r="B14729" s="1"/>
    </row>
    <row r="14730" spans="2:2" x14ac:dyDescent="0.25">
      <c r="B14730" s="1"/>
    </row>
    <row r="14731" spans="2:2" x14ac:dyDescent="0.25">
      <c r="B14731" s="1"/>
    </row>
    <row r="14732" spans="2:2" x14ac:dyDescent="0.25">
      <c r="B14732" s="1"/>
    </row>
    <row r="14733" spans="2:2" x14ac:dyDescent="0.25">
      <c r="B14733" s="1"/>
    </row>
    <row r="14734" spans="2:2" x14ac:dyDescent="0.25">
      <c r="B14734" s="1"/>
    </row>
    <row r="14735" spans="2:2" x14ac:dyDescent="0.25">
      <c r="B14735" s="1"/>
    </row>
    <row r="14736" spans="2:2" x14ac:dyDescent="0.25">
      <c r="B14736" s="1"/>
    </row>
    <row r="14737" spans="2:2" x14ac:dyDescent="0.25">
      <c r="B14737" s="1"/>
    </row>
    <row r="14738" spans="2:2" x14ac:dyDescent="0.25">
      <c r="B14738" s="1"/>
    </row>
    <row r="14739" spans="2:2" x14ac:dyDescent="0.25">
      <c r="B14739" s="1"/>
    </row>
    <row r="14740" spans="2:2" x14ac:dyDescent="0.25">
      <c r="B14740" s="1"/>
    </row>
    <row r="14741" spans="2:2" x14ac:dyDescent="0.25">
      <c r="B14741" s="1"/>
    </row>
    <row r="14742" spans="2:2" x14ac:dyDescent="0.25">
      <c r="B14742" s="1"/>
    </row>
    <row r="14743" spans="2:2" x14ac:dyDescent="0.25">
      <c r="B14743" s="1"/>
    </row>
    <row r="14744" spans="2:2" x14ac:dyDescent="0.25">
      <c r="B14744" s="1"/>
    </row>
    <row r="14745" spans="2:2" x14ac:dyDescent="0.25">
      <c r="B14745" s="1"/>
    </row>
    <row r="14746" spans="2:2" x14ac:dyDescent="0.25">
      <c r="B14746" s="1"/>
    </row>
    <row r="14747" spans="2:2" x14ac:dyDescent="0.25">
      <c r="B14747" s="1"/>
    </row>
    <row r="14748" spans="2:2" x14ac:dyDescent="0.25">
      <c r="B14748" s="1"/>
    </row>
    <row r="14749" spans="2:2" x14ac:dyDescent="0.25">
      <c r="B14749" s="1"/>
    </row>
    <row r="14750" spans="2:2" x14ac:dyDescent="0.25">
      <c r="B14750" s="1"/>
    </row>
    <row r="14751" spans="2:2" x14ac:dyDescent="0.25">
      <c r="B14751" s="1"/>
    </row>
    <row r="14752" spans="2:2" x14ac:dyDescent="0.25">
      <c r="B14752" s="1"/>
    </row>
    <row r="14753" spans="2:2" x14ac:dyDescent="0.25">
      <c r="B14753" s="1"/>
    </row>
    <row r="14754" spans="2:2" x14ac:dyDescent="0.25">
      <c r="B14754" s="1"/>
    </row>
    <row r="14755" spans="2:2" x14ac:dyDescent="0.25">
      <c r="B14755" s="1"/>
    </row>
    <row r="14756" spans="2:2" x14ac:dyDescent="0.25">
      <c r="B14756" s="1"/>
    </row>
    <row r="14757" spans="2:2" x14ac:dyDescent="0.25">
      <c r="B14757" s="1"/>
    </row>
    <row r="14758" spans="2:2" x14ac:dyDescent="0.25">
      <c r="B14758" s="1"/>
    </row>
    <row r="14759" spans="2:2" x14ac:dyDescent="0.25">
      <c r="B14759" s="1"/>
    </row>
    <row r="14760" spans="2:2" x14ac:dyDescent="0.25">
      <c r="B14760" s="1"/>
    </row>
    <row r="14761" spans="2:2" x14ac:dyDescent="0.25">
      <c r="B14761" s="1"/>
    </row>
    <row r="14762" spans="2:2" x14ac:dyDescent="0.25">
      <c r="B14762" s="1"/>
    </row>
    <row r="14763" spans="2:2" x14ac:dyDescent="0.25">
      <c r="B14763" s="1"/>
    </row>
    <row r="14764" spans="2:2" x14ac:dyDescent="0.25">
      <c r="B14764" s="1"/>
    </row>
    <row r="14765" spans="2:2" x14ac:dyDescent="0.25">
      <c r="B14765" s="1"/>
    </row>
    <row r="14766" spans="2:2" x14ac:dyDescent="0.25">
      <c r="B14766" s="1"/>
    </row>
    <row r="14767" spans="2:2" x14ac:dyDescent="0.25">
      <c r="B14767" s="1"/>
    </row>
    <row r="14768" spans="2:2" x14ac:dyDescent="0.25">
      <c r="B14768" s="1"/>
    </row>
    <row r="14769" spans="2:2" x14ac:dyDescent="0.25">
      <c r="B14769" s="1"/>
    </row>
    <row r="14770" spans="2:2" x14ac:dyDescent="0.25">
      <c r="B14770" s="1"/>
    </row>
    <row r="14771" spans="2:2" x14ac:dyDescent="0.25">
      <c r="B14771" s="1"/>
    </row>
    <row r="14772" spans="2:2" x14ac:dyDescent="0.25">
      <c r="B14772" s="1"/>
    </row>
    <row r="14773" spans="2:2" x14ac:dyDescent="0.25">
      <c r="B14773" s="1"/>
    </row>
    <row r="14774" spans="2:2" x14ac:dyDescent="0.25">
      <c r="B14774" s="1"/>
    </row>
    <row r="14775" spans="2:2" x14ac:dyDescent="0.25">
      <c r="B14775" s="1"/>
    </row>
    <row r="14776" spans="2:2" x14ac:dyDescent="0.25">
      <c r="B14776" s="1"/>
    </row>
    <row r="14777" spans="2:2" x14ac:dyDescent="0.25">
      <c r="B14777" s="1"/>
    </row>
    <row r="14778" spans="2:2" x14ac:dyDescent="0.25">
      <c r="B14778" s="1"/>
    </row>
    <row r="14779" spans="2:2" x14ac:dyDescent="0.25">
      <c r="B14779" s="1"/>
    </row>
    <row r="14780" spans="2:2" x14ac:dyDescent="0.25">
      <c r="B14780" s="1"/>
    </row>
    <row r="14781" spans="2:2" x14ac:dyDescent="0.25">
      <c r="B14781" s="1"/>
    </row>
    <row r="14782" spans="2:2" x14ac:dyDescent="0.25">
      <c r="B14782" s="1"/>
    </row>
    <row r="14783" spans="2:2" x14ac:dyDescent="0.25">
      <c r="B14783" s="1"/>
    </row>
    <row r="14784" spans="2:2" x14ac:dyDescent="0.25">
      <c r="B14784" s="1"/>
    </row>
    <row r="14785" spans="2:2" x14ac:dyDescent="0.25">
      <c r="B14785" s="1"/>
    </row>
    <row r="14786" spans="2:2" x14ac:dyDescent="0.25">
      <c r="B14786" s="1"/>
    </row>
    <row r="14787" spans="2:2" x14ac:dyDescent="0.25">
      <c r="B14787" s="1"/>
    </row>
    <row r="14788" spans="2:2" x14ac:dyDescent="0.25">
      <c r="B14788" s="1"/>
    </row>
    <row r="14789" spans="2:2" x14ac:dyDescent="0.25">
      <c r="B14789" s="1"/>
    </row>
    <row r="14790" spans="2:2" x14ac:dyDescent="0.25">
      <c r="B14790" s="1"/>
    </row>
    <row r="14791" spans="2:2" x14ac:dyDescent="0.25">
      <c r="B14791" s="1"/>
    </row>
    <row r="14792" spans="2:2" x14ac:dyDescent="0.25">
      <c r="B14792" s="1"/>
    </row>
    <row r="14793" spans="2:2" x14ac:dyDescent="0.25">
      <c r="B14793" s="1"/>
    </row>
    <row r="14794" spans="2:2" x14ac:dyDescent="0.25">
      <c r="B14794" s="1"/>
    </row>
    <row r="14795" spans="2:2" x14ac:dyDescent="0.25">
      <c r="B14795" s="1"/>
    </row>
    <row r="14796" spans="2:2" x14ac:dyDescent="0.25">
      <c r="B14796" s="1"/>
    </row>
    <row r="14797" spans="2:2" x14ac:dyDescent="0.25">
      <c r="B14797" s="1"/>
    </row>
    <row r="14798" spans="2:2" x14ac:dyDescent="0.25">
      <c r="B14798" s="1"/>
    </row>
    <row r="14799" spans="2:2" x14ac:dyDescent="0.25">
      <c r="B14799" s="1"/>
    </row>
    <row r="14800" spans="2:2" x14ac:dyDescent="0.25">
      <c r="B14800" s="1"/>
    </row>
    <row r="14801" spans="2:2" x14ac:dyDescent="0.25">
      <c r="B14801" s="1"/>
    </row>
    <row r="14802" spans="2:2" x14ac:dyDescent="0.25">
      <c r="B14802" s="1"/>
    </row>
    <row r="14803" spans="2:2" x14ac:dyDescent="0.25">
      <c r="B14803" s="1"/>
    </row>
    <row r="14804" spans="2:2" x14ac:dyDescent="0.25">
      <c r="B14804" s="1"/>
    </row>
    <row r="14805" spans="2:2" x14ac:dyDescent="0.25">
      <c r="B14805" s="1"/>
    </row>
    <row r="14806" spans="2:2" x14ac:dyDescent="0.25">
      <c r="B14806" s="1"/>
    </row>
    <row r="14807" spans="2:2" x14ac:dyDescent="0.25">
      <c r="B14807" s="1"/>
    </row>
    <row r="14808" spans="2:2" x14ac:dyDescent="0.25">
      <c r="B14808" s="1"/>
    </row>
    <row r="14809" spans="2:2" x14ac:dyDescent="0.25">
      <c r="B14809" s="1"/>
    </row>
    <row r="14810" spans="2:2" x14ac:dyDescent="0.25">
      <c r="B14810" s="1"/>
    </row>
    <row r="14811" spans="2:2" x14ac:dyDescent="0.25">
      <c r="B14811" s="1"/>
    </row>
    <row r="14812" spans="2:2" x14ac:dyDescent="0.25">
      <c r="B14812" s="1"/>
    </row>
    <row r="14813" spans="2:2" x14ac:dyDescent="0.25">
      <c r="B14813" s="1"/>
    </row>
    <row r="14814" spans="2:2" x14ac:dyDescent="0.25">
      <c r="B14814" s="1"/>
    </row>
    <row r="14815" spans="2:2" x14ac:dyDescent="0.25">
      <c r="B14815" s="1"/>
    </row>
    <row r="14816" spans="2:2" x14ac:dyDescent="0.25">
      <c r="B14816" s="1"/>
    </row>
    <row r="14817" spans="2:2" x14ac:dyDescent="0.25">
      <c r="B14817" s="1"/>
    </row>
    <row r="14818" spans="2:2" x14ac:dyDescent="0.25">
      <c r="B14818" s="1"/>
    </row>
    <row r="14819" spans="2:2" x14ac:dyDescent="0.25">
      <c r="B14819" s="1"/>
    </row>
    <row r="14820" spans="2:2" x14ac:dyDescent="0.25">
      <c r="B14820" s="1"/>
    </row>
    <row r="14821" spans="2:2" x14ac:dyDescent="0.25">
      <c r="B14821" s="1"/>
    </row>
    <row r="14822" spans="2:2" x14ac:dyDescent="0.25">
      <c r="B14822" s="1"/>
    </row>
    <row r="14823" spans="2:2" x14ac:dyDescent="0.25">
      <c r="B14823" s="1"/>
    </row>
    <row r="14824" spans="2:2" x14ac:dyDescent="0.25">
      <c r="B14824" s="1"/>
    </row>
    <row r="14825" spans="2:2" x14ac:dyDescent="0.25">
      <c r="B14825" s="1"/>
    </row>
    <row r="14826" spans="2:2" x14ac:dyDescent="0.25">
      <c r="B14826" s="1"/>
    </row>
    <row r="14827" spans="2:2" x14ac:dyDescent="0.25">
      <c r="B14827" s="1"/>
    </row>
    <row r="14828" spans="2:2" x14ac:dyDescent="0.25">
      <c r="B14828" s="1"/>
    </row>
    <row r="14829" spans="2:2" x14ac:dyDescent="0.25">
      <c r="B14829" s="1"/>
    </row>
    <row r="14830" spans="2:2" x14ac:dyDescent="0.25">
      <c r="B14830" s="1"/>
    </row>
    <row r="14831" spans="2:2" x14ac:dyDescent="0.25">
      <c r="B14831" s="1"/>
    </row>
    <row r="14832" spans="2:2" x14ac:dyDescent="0.25">
      <c r="B14832" s="1"/>
    </row>
    <row r="14833" spans="2:2" x14ac:dyDescent="0.25">
      <c r="B14833" s="1"/>
    </row>
    <row r="14834" spans="2:2" x14ac:dyDescent="0.25">
      <c r="B14834" s="1"/>
    </row>
    <row r="14835" spans="2:2" x14ac:dyDescent="0.25">
      <c r="B14835" s="1"/>
    </row>
    <row r="14836" spans="2:2" x14ac:dyDescent="0.25">
      <c r="B14836" s="1"/>
    </row>
    <row r="14837" spans="2:2" x14ac:dyDescent="0.25">
      <c r="B14837" s="1"/>
    </row>
    <row r="14838" spans="2:2" x14ac:dyDescent="0.25">
      <c r="B14838" s="1"/>
    </row>
    <row r="14839" spans="2:2" x14ac:dyDescent="0.25">
      <c r="B14839" s="1"/>
    </row>
    <row r="14840" spans="2:2" x14ac:dyDescent="0.25">
      <c r="B14840" s="1"/>
    </row>
    <row r="14841" spans="2:2" x14ac:dyDescent="0.25">
      <c r="B14841" s="1"/>
    </row>
    <row r="14842" spans="2:2" x14ac:dyDescent="0.25">
      <c r="B14842" s="1"/>
    </row>
    <row r="14843" spans="2:2" x14ac:dyDescent="0.25">
      <c r="B14843" s="1"/>
    </row>
    <row r="14844" spans="2:2" x14ac:dyDescent="0.25">
      <c r="B14844" s="1"/>
    </row>
    <row r="14845" spans="2:2" x14ac:dyDescent="0.25">
      <c r="B14845" s="1"/>
    </row>
    <row r="14846" spans="2:2" x14ac:dyDescent="0.25">
      <c r="B14846" s="1"/>
    </row>
    <row r="14847" spans="2:2" x14ac:dyDescent="0.25">
      <c r="B14847" s="1"/>
    </row>
    <row r="14848" spans="2:2" x14ac:dyDescent="0.25">
      <c r="B14848" s="1"/>
    </row>
    <row r="14849" spans="2:2" x14ac:dyDescent="0.25">
      <c r="B14849" s="1"/>
    </row>
    <row r="14850" spans="2:2" x14ac:dyDescent="0.25">
      <c r="B14850" s="1"/>
    </row>
    <row r="14851" spans="2:2" x14ac:dyDescent="0.25">
      <c r="B14851" s="1"/>
    </row>
    <row r="14852" spans="2:2" x14ac:dyDescent="0.25">
      <c r="B14852" s="1"/>
    </row>
    <row r="14853" spans="2:2" x14ac:dyDescent="0.25">
      <c r="B14853" s="1"/>
    </row>
    <row r="14854" spans="2:2" x14ac:dyDescent="0.25">
      <c r="B14854" s="1"/>
    </row>
    <row r="14855" spans="2:2" x14ac:dyDescent="0.25">
      <c r="B14855" s="1"/>
    </row>
    <row r="14856" spans="2:2" x14ac:dyDescent="0.25">
      <c r="B14856" s="1"/>
    </row>
    <row r="14857" spans="2:2" x14ac:dyDescent="0.25">
      <c r="B14857" s="1"/>
    </row>
    <row r="14858" spans="2:2" x14ac:dyDescent="0.25">
      <c r="B14858" s="1"/>
    </row>
    <row r="14859" spans="2:2" x14ac:dyDescent="0.25">
      <c r="B14859" s="1"/>
    </row>
    <row r="14860" spans="2:2" x14ac:dyDescent="0.25">
      <c r="B14860" s="1"/>
    </row>
    <row r="14861" spans="2:2" x14ac:dyDescent="0.25">
      <c r="B14861" s="1"/>
    </row>
    <row r="14862" spans="2:2" x14ac:dyDescent="0.25">
      <c r="B14862" s="1"/>
    </row>
    <row r="14863" spans="2:2" x14ac:dyDescent="0.25">
      <c r="B14863" s="1"/>
    </row>
    <row r="14864" spans="2:2" x14ac:dyDescent="0.25">
      <c r="B14864" s="1"/>
    </row>
    <row r="14865" spans="2:2" x14ac:dyDescent="0.25">
      <c r="B14865" s="1"/>
    </row>
    <row r="14866" spans="2:2" x14ac:dyDescent="0.25">
      <c r="B14866" s="1"/>
    </row>
    <row r="14867" spans="2:2" x14ac:dyDescent="0.25">
      <c r="B14867" s="1"/>
    </row>
    <row r="14868" spans="2:2" x14ac:dyDescent="0.25">
      <c r="B14868" s="1"/>
    </row>
    <row r="14869" spans="2:2" x14ac:dyDescent="0.25">
      <c r="B14869" s="1"/>
    </row>
    <row r="14870" spans="2:2" x14ac:dyDescent="0.25">
      <c r="B14870" s="1"/>
    </row>
    <row r="14871" spans="2:2" x14ac:dyDescent="0.25">
      <c r="B14871" s="1"/>
    </row>
    <row r="14872" spans="2:2" x14ac:dyDescent="0.25">
      <c r="B14872" s="1"/>
    </row>
    <row r="14873" spans="2:2" x14ac:dyDescent="0.25">
      <c r="B14873" s="1"/>
    </row>
    <row r="14874" spans="2:2" x14ac:dyDescent="0.25">
      <c r="B14874" s="1"/>
    </row>
    <row r="14875" spans="2:2" x14ac:dyDescent="0.25">
      <c r="B14875" s="1"/>
    </row>
    <row r="14876" spans="2:2" x14ac:dyDescent="0.25">
      <c r="B14876" s="1"/>
    </row>
    <row r="14877" spans="2:2" x14ac:dyDescent="0.25">
      <c r="B14877" s="1"/>
    </row>
    <row r="14878" spans="2:2" x14ac:dyDescent="0.25">
      <c r="B14878" s="1"/>
    </row>
    <row r="14879" spans="2:2" x14ac:dyDescent="0.25">
      <c r="B14879" s="1"/>
    </row>
    <row r="14880" spans="2:2" x14ac:dyDescent="0.25">
      <c r="B14880" s="1"/>
    </row>
    <row r="14881" spans="2:2" x14ac:dyDescent="0.25">
      <c r="B14881" s="1"/>
    </row>
    <row r="14882" spans="2:2" x14ac:dyDescent="0.25">
      <c r="B14882" s="1"/>
    </row>
    <row r="14883" spans="2:2" x14ac:dyDescent="0.25">
      <c r="B14883" s="1"/>
    </row>
    <row r="14884" spans="2:2" x14ac:dyDescent="0.25">
      <c r="B14884" s="1"/>
    </row>
    <row r="14885" spans="2:2" x14ac:dyDescent="0.25">
      <c r="B14885" s="1"/>
    </row>
    <row r="14886" spans="2:2" x14ac:dyDescent="0.25">
      <c r="B14886" s="1"/>
    </row>
    <row r="14887" spans="2:2" x14ac:dyDescent="0.25">
      <c r="B14887" s="1"/>
    </row>
    <row r="14888" spans="2:2" x14ac:dyDescent="0.25">
      <c r="B14888" s="1"/>
    </row>
    <row r="14889" spans="2:2" x14ac:dyDescent="0.25">
      <c r="B14889" s="1"/>
    </row>
    <row r="14890" spans="2:2" x14ac:dyDescent="0.25">
      <c r="B14890" s="1"/>
    </row>
    <row r="14891" spans="2:2" x14ac:dyDescent="0.25">
      <c r="B14891" s="1"/>
    </row>
    <row r="14892" spans="2:2" x14ac:dyDescent="0.25">
      <c r="B14892" s="1"/>
    </row>
    <row r="14893" spans="2:2" x14ac:dyDescent="0.25">
      <c r="B14893" s="1"/>
    </row>
    <row r="14894" spans="2:2" x14ac:dyDescent="0.25">
      <c r="B14894" s="1"/>
    </row>
    <row r="14895" spans="2:2" x14ac:dyDescent="0.25">
      <c r="B14895" s="1"/>
    </row>
    <row r="14896" spans="2:2" x14ac:dyDescent="0.25">
      <c r="B14896" s="1"/>
    </row>
    <row r="14897" spans="2:2" x14ac:dyDescent="0.25">
      <c r="B14897" s="1"/>
    </row>
    <row r="14898" spans="2:2" x14ac:dyDescent="0.25">
      <c r="B14898" s="1"/>
    </row>
    <row r="14899" spans="2:2" x14ac:dyDescent="0.25">
      <c r="B14899" s="1"/>
    </row>
    <row r="14900" spans="2:2" x14ac:dyDescent="0.25">
      <c r="B14900" s="1"/>
    </row>
    <row r="14901" spans="2:2" x14ac:dyDescent="0.25">
      <c r="B14901" s="1"/>
    </row>
    <row r="14902" spans="2:2" x14ac:dyDescent="0.25">
      <c r="B14902" s="1"/>
    </row>
    <row r="14903" spans="2:2" x14ac:dyDescent="0.25">
      <c r="B14903" s="1"/>
    </row>
    <row r="14904" spans="2:2" x14ac:dyDescent="0.25">
      <c r="B14904" s="1"/>
    </row>
    <row r="14905" spans="2:2" x14ac:dyDescent="0.25">
      <c r="B14905" s="1"/>
    </row>
    <row r="14906" spans="2:2" x14ac:dyDescent="0.25">
      <c r="B14906" s="1"/>
    </row>
    <row r="14907" spans="2:2" x14ac:dyDescent="0.25">
      <c r="B14907" s="1"/>
    </row>
    <row r="14908" spans="2:2" x14ac:dyDescent="0.25">
      <c r="B14908" s="1"/>
    </row>
    <row r="14909" spans="2:2" x14ac:dyDescent="0.25">
      <c r="B14909" s="1"/>
    </row>
    <row r="14910" spans="2:2" x14ac:dyDescent="0.25">
      <c r="B14910" s="1"/>
    </row>
    <row r="14911" spans="2:2" x14ac:dyDescent="0.25">
      <c r="B14911" s="1"/>
    </row>
    <row r="14912" spans="2:2" x14ac:dyDescent="0.25">
      <c r="B14912" s="1"/>
    </row>
    <row r="14913" spans="2:2" x14ac:dyDescent="0.25">
      <c r="B14913" s="1"/>
    </row>
    <row r="14914" spans="2:2" x14ac:dyDescent="0.25">
      <c r="B14914" s="1"/>
    </row>
    <row r="14915" spans="2:2" x14ac:dyDescent="0.25">
      <c r="B14915" s="1"/>
    </row>
    <row r="14916" spans="2:2" x14ac:dyDescent="0.25">
      <c r="B14916" s="1"/>
    </row>
    <row r="14917" spans="2:2" x14ac:dyDescent="0.25">
      <c r="B14917" s="1"/>
    </row>
    <row r="14918" spans="2:2" x14ac:dyDescent="0.25">
      <c r="B14918" s="1"/>
    </row>
    <row r="14919" spans="2:2" x14ac:dyDescent="0.25">
      <c r="B14919" s="1"/>
    </row>
    <row r="14920" spans="2:2" x14ac:dyDescent="0.25">
      <c r="B14920" s="1"/>
    </row>
    <row r="14921" spans="2:2" x14ac:dyDescent="0.25">
      <c r="B14921" s="1"/>
    </row>
    <row r="14922" spans="2:2" x14ac:dyDescent="0.25">
      <c r="B14922" s="1"/>
    </row>
    <row r="14923" spans="2:2" x14ac:dyDescent="0.25">
      <c r="B14923" s="1"/>
    </row>
    <row r="14924" spans="2:2" x14ac:dyDescent="0.25">
      <c r="B14924" s="1"/>
    </row>
    <row r="14925" spans="2:2" x14ac:dyDescent="0.25">
      <c r="B14925" s="1"/>
    </row>
    <row r="14926" spans="2:2" x14ac:dyDescent="0.25">
      <c r="B14926" s="1"/>
    </row>
    <row r="14927" spans="2:2" x14ac:dyDescent="0.25">
      <c r="B14927" s="1"/>
    </row>
    <row r="14928" spans="2:2" x14ac:dyDescent="0.25">
      <c r="B14928" s="1"/>
    </row>
    <row r="14929" spans="2:2" x14ac:dyDescent="0.25">
      <c r="B14929" s="1"/>
    </row>
    <row r="14930" spans="2:2" x14ac:dyDescent="0.25">
      <c r="B14930" s="1"/>
    </row>
    <row r="14931" spans="2:2" x14ac:dyDescent="0.25">
      <c r="B14931" s="1"/>
    </row>
    <row r="14932" spans="2:2" x14ac:dyDescent="0.25">
      <c r="B14932" s="1"/>
    </row>
    <row r="14933" spans="2:2" x14ac:dyDescent="0.25">
      <c r="B14933" s="1"/>
    </row>
    <row r="14934" spans="2:2" x14ac:dyDescent="0.25">
      <c r="B14934" s="1"/>
    </row>
    <row r="14935" spans="2:2" x14ac:dyDescent="0.25">
      <c r="B14935" s="1"/>
    </row>
    <row r="14936" spans="2:2" x14ac:dyDescent="0.25">
      <c r="B14936" s="1"/>
    </row>
    <row r="14937" spans="2:2" x14ac:dyDescent="0.25">
      <c r="B14937" s="1"/>
    </row>
    <row r="14938" spans="2:2" x14ac:dyDescent="0.25">
      <c r="B14938" s="1"/>
    </row>
    <row r="14939" spans="2:2" x14ac:dyDescent="0.25">
      <c r="B14939" s="1"/>
    </row>
    <row r="14940" spans="2:2" x14ac:dyDescent="0.25">
      <c r="B14940" s="1"/>
    </row>
    <row r="14941" spans="2:2" x14ac:dyDescent="0.25">
      <c r="B14941" s="1"/>
    </row>
    <row r="14942" spans="2:2" x14ac:dyDescent="0.25">
      <c r="B14942" s="1"/>
    </row>
    <row r="14943" spans="2:2" x14ac:dyDescent="0.25">
      <c r="B14943" s="1"/>
    </row>
    <row r="14944" spans="2:2" x14ac:dyDescent="0.25">
      <c r="B14944" s="1"/>
    </row>
    <row r="14945" spans="2:2" x14ac:dyDescent="0.25">
      <c r="B14945" s="1"/>
    </row>
    <row r="14946" spans="2:2" x14ac:dyDescent="0.25">
      <c r="B14946" s="1"/>
    </row>
    <row r="14947" spans="2:2" x14ac:dyDescent="0.25">
      <c r="B14947" s="1"/>
    </row>
    <row r="14948" spans="2:2" x14ac:dyDescent="0.25">
      <c r="B14948" s="1"/>
    </row>
    <row r="14949" spans="2:2" x14ac:dyDescent="0.25">
      <c r="B14949" s="1"/>
    </row>
    <row r="14950" spans="2:2" x14ac:dyDescent="0.25">
      <c r="B14950" s="1"/>
    </row>
    <row r="14951" spans="2:2" x14ac:dyDescent="0.25">
      <c r="B14951" s="1"/>
    </row>
    <row r="14952" spans="2:2" x14ac:dyDescent="0.25">
      <c r="B14952" s="1"/>
    </row>
    <row r="14953" spans="2:2" x14ac:dyDescent="0.25">
      <c r="B14953" s="1"/>
    </row>
    <row r="14954" spans="2:2" x14ac:dyDescent="0.25">
      <c r="B14954" s="1"/>
    </row>
    <row r="14955" spans="2:2" x14ac:dyDescent="0.25">
      <c r="B14955" s="1"/>
    </row>
    <row r="14956" spans="2:2" x14ac:dyDescent="0.25">
      <c r="B14956" s="1"/>
    </row>
    <row r="14957" spans="2:2" x14ac:dyDescent="0.25">
      <c r="B14957" s="1"/>
    </row>
    <row r="14958" spans="2:2" x14ac:dyDescent="0.25">
      <c r="B14958" s="1"/>
    </row>
    <row r="14959" spans="2:2" x14ac:dyDescent="0.25">
      <c r="B14959" s="1"/>
    </row>
    <row r="14960" spans="2:2" x14ac:dyDescent="0.25">
      <c r="B14960" s="1"/>
    </row>
    <row r="14961" spans="2:2" x14ac:dyDescent="0.25">
      <c r="B14961" s="1"/>
    </row>
    <row r="14962" spans="2:2" x14ac:dyDescent="0.25">
      <c r="B14962" s="1"/>
    </row>
    <row r="14963" spans="2:2" x14ac:dyDescent="0.25">
      <c r="B14963" s="1"/>
    </row>
    <row r="14964" spans="2:2" x14ac:dyDescent="0.25">
      <c r="B14964" s="1"/>
    </row>
    <row r="14965" spans="2:2" x14ac:dyDescent="0.25">
      <c r="B14965" s="1"/>
    </row>
    <row r="14966" spans="2:2" x14ac:dyDescent="0.25">
      <c r="B14966" s="1"/>
    </row>
    <row r="14967" spans="2:2" x14ac:dyDescent="0.25">
      <c r="B14967" s="1"/>
    </row>
    <row r="14968" spans="2:2" x14ac:dyDescent="0.25">
      <c r="B14968" s="1"/>
    </row>
    <row r="14969" spans="2:2" x14ac:dyDescent="0.25">
      <c r="B14969" s="1"/>
    </row>
    <row r="14970" spans="2:2" x14ac:dyDescent="0.25">
      <c r="B14970" s="1"/>
    </row>
    <row r="14971" spans="2:2" x14ac:dyDescent="0.25">
      <c r="B14971" s="1"/>
    </row>
    <row r="14972" spans="2:2" x14ac:dyDescent="0.25">
      <c r="B14972" s="1"/>
    </row>
    <row r="14973" spans="2:2" x14ac:dyDescent="0.25">
      <c r="B14973" s="1"/>
    </row>
    <row r="14974" spans="2:2" x14ac:dyDescent="0.25">
      <c r="B14974" s="1"/>
    </row>
    <row r="14975" spans="2:2" x14ac:dyDescent="0.25">
      <c r="B14975" s="1"/>
    </row>
    <row r="14976" spans="2:2" x14ac:dyDescent="0.25">
      <c r="B14976" s="1"/>
    </row>
    <row r="14977" spans="2:2" x14ac:dyDescent="0.25">
      <c r="B14977" s="1"/>
    </row>
    <row r="14978" spans="2:2" x14ac:dyDescent="0.25">
      <c r="B14978" s="1"/>
    </row>
    <row r="14979" spans="2:2" x14ac:dyDescent="0.25">
      <c r="B14979" s="1"/>
    </row>
    <row r="14980" spans="2:2" x14ac:dyDescent="0.25">
      <c r="B14980" s="1"/>
    </row>
    <row r="14981" spans="2:2" x14ac:dyDescent="0.25">
      <c r="B14981" s="1"/>
    </row>
    <row r="14982" spans="2:2" x14ac:dyDescent="0.25">
      <c r="B14982" s="1"/>
    </row>
    <row r="14983" spans="2:2" x14ac:dyDescent="0.25">
      <c r="B14983" s="1"/>
    </row>
    <row r="14984" spans="2:2" x14ac:dyDescent="0.25">
      <c r="B14984" s="1"/>
    </row>
    <row r="14985" spans="2:2" x14ac:dyDescent="0.25">
      <c r="B14985" s="1"/>
    </row>
    <row r="14986" spans="2:2" x14ac:dyDescent="0.25">
      <c r="B14986" s="1"/>
    </row>
    <row r="14987" spans="2:2" x14ac:dyDescent="0.25">
      <c r="B14987" s="1"/>
    </row>
    <row r="14988" spans="2:2" x14ac:dyDescent="0.25">
      <c r="B14988" s="1"/>
    </row>
    <row r="14989" spans="2:2" x14ac:dyDescent="0.25">
      <c r="B14989" s="1"/>
    </row>
    <row r="14990" spans="2:2" x14ac:dyDescent="0.25">
      <c r="B14990" s="1"/>
    </row>
    <row r="14991" spans="2:2" x14ac:dyDescent="0.25">
      <c r="B14991" s="1"/>
    </row>
    <row r="14992" spans="2:2" x14ac:dyDescent="0.25">
      <c r="B14992" s="1"/>
    </row>
    <row r="14993" spans="2:2" x14ac:dyDescent="0.25">
      <c r="B14993" s="1"/>
    </row>
    <row r="14994" spans="2:2" x14ac:dyDescent="0.25">
      <c r="B14994" s="1"/>
    </row>
    <row r="14995" spans="2:2" x14ac:dyDescent="0.25">
      <c r="B14995" s="1"/>
    </row>
    <row r="14996" spans="2:2" x14ac:dyDescent="0.25">
      <c r="B14996" s="1"/>
    </row>
    <row r="14997" spans="2:2" x14ac:dyDescent="0.25">
      <c r="B14997" s="1"/>
    </row>
    <row r="14998" spans="2:2" x14ac:dyDescent="0.25">
      <c r="B14998" s="1"/>
    </row>
    <row r="14999" spans="2:2" x14ac:dyDescent="0.25">
      <c r="B14999" s="1"/>
    </row>
    <row r="15000" spans="2:2" x14ac:dyDescent="0.25">
      <c r="B15000" s="1"/>
    </row>
    <row r="15001" spans="2:2" x14ac:dyDescent="0.25">
      <c r="B15001" s="1"/>
    </row>
    <row r="15002" spans="2:2" x14ac:dyDescent="0.25">
      <c r="B15002" s="1"/>
    </row>
    <row r="15003" spans="2:2" x14ac:dyDescent="0.25">
      <c r="B15003" s="1"/>
    </row>
    <row r="15004" spans="2:2" x14ac:dyDescent="0.25">
      <c r="B15004" s="1"/>
    </row>
    <row r="15005" spans="2:2" x14ac:dyDescent="0.25">
      <c r="B15005" s="1"/>
    </row>
    <row r="15006" spans="2:2" x14ac:dyDescent="0.25">
      <c r="B15006" s="1"/>
    </row>
    <row r="15007" spans="2:2" x14ac:dyDescent="0.25">
      <c r="B15007" s="1"/>
    </row>
    <row r="15008" spans="2:2" x14ac:dyDescent="0.25">
      <c r="B15008" s="1"/>
    </row>
    <row r="15009" spans="2:2" x14ac:dyDescent="0.25">
      <c r="B15009" s="1"/>
    </row>
    <row r="15010" spans="2:2" x14ac:dyDescent="0.25">
      <c r="B15010" s="1"/>
    </row>
    <row r="15011" spans="2:2" x14ac:dyDescent="0.25">
      <c r="B15011" s="1"/>
    </row>
    <row r="15012" spans="2:2" x14ac:dyDescent="0.25">
      <c r="B15012" s="1"/>
    </row>
    <row r="15013" spans="2:2" x14ac:dyDescent="0.25">
      <c r="B15013" s="1"/>
    </row>
    <row r="15014" spans="2:2" x14ac:dyDescent="0.25">
      <c r="B15014" s="1"/>
    </row>
    <row r="15015" spans="2:2" x14ac:dyDescent="0.25">
      <c r="B15015" s="1"/>
    </row>
    <row r="15016" spans="2:2" x14ac:dyDescent="0.25">
      <c r="B15016" s="1"/>
    </row>
    <row r="15017" spans="2:2" x14ac:dyDescent="0.25">
      <c r="B15017" s="1"/>
    </row>
    <row r="15018" spans="2:2" x14ac:dyDescent="0.25">
      <c r="B15018" s="1"/>
    </row>
    <row r="15019" spans="2:2" x14ac:dyDescent="0.25">
      <c r="B15019" s="1"/>
    </row>
    <row r="15020" spans="2:2" x14ac:dyDescent="0.25">
      <c r="B15020" s="1"/>
    </row>
    <row r="15021" spans="2:2" x14ac:dyDescent="0.25">
      <c r="B15021" s="1"/>
    </row>
    <row r="15022" spans="2:2" x14ac:dyDescent="0.25">
      <c r="B15022" s="1"/>
    </row>
    <row r="15023" spans="2:2" x14ac:dyDescent="0.25">
      <c r="B15023" s="1"/>
    </row>
    <row r="15024" spans="2:2" x14ac:dyDescent="0.25">
      <c r="B15024" s="1"/>
    </row>
    <row r="15025" spans="2:2" x14ac:dyDescent="0.25">
      <c r="B15025" s="1"/>
    </row>
    <row r="15026" spans="2:2" x14ac:dyDescent="0.25">
      <c r="B15026" s="1"/>
    </row>
    <row r="15027" spans="2:2" x14ac:dyDescent="0.25">
      <c r="B15027" s="1"/>
    </row>
    <row r="15028" spans="2:2" x14ac:dyDescent="0.25">
      <c r="B15028" s="1"/>
    </row>
    <row r="15029" spans="2:2" x14ac:dyDescent="0.25">
      <c r="B15029" s="1"/>
    </row>
    <row r="15030" spans="2:2" x14ac:dyDescent="0.25">
      <c r="B15030" s="1"/>
    </row>
    <row r="15031" spans="2:2" x14ac:dyDescent="0.25">
      <c r="B15031" s="1"/>
    </row>
    <row r="15032" spans="2:2" x14ac:dyDescent="0.25">
      <c r="B15032" s="1"/>
    </row>
    <row r="15033" spans="2:2" x14ac:dyDescent="0.25">
      <c r="B15033" s="1"/>
    </row>
    <row r="15034" spans="2:2" x14ac:dyDescent="0.25">
      <c r="B15034" s="1"/>
    </row>
    <row r="15035" spans="2:2" x14ac:dyDescent="0.25">
      <c r="B15035" s="1"/>
    </row>
    <row r="15036" spans="2:2" x14ac:dyDescent="0.25">
      <c r="B15036" s="1"/>
    </row>
    <row r="15037" spans="2:2" x14ac:dyDescent="0.25">
      <c r="B15037" s="1"/>
    </row>
    <row r="15038" spans="2:2" x14ac:dyDescent="0.25">
      <c r="B15038" s="1"/>
    </row>
    <row r="15039" spans="2:2" x14ac:dyDescent="0.25">
      <c r="B15039" s="1"/>
    </row>
    <row r="15040" spans="2:2" x14ac:dyDescent="0.25">
      <c r="B15040" s="1"/>
    </row>
    <row r="15041" spans="2:2" x14ac:dyDescent="0.25">
      <c r="B15041" s="1"/>
    </row>
    <row r="15042" spans="2:2" x14ac:dyDescent="0.25">
      <c r="B15042" s="1"/>
    </row>
    <row r="15043" spans="2:2" x14ac:dyDescent="0.25">
      <c r="B15043" s="1"/>
    </row>
    <row r="15044" spans="2:2" x14ac:dyDescent="0.25">
      <c r="B15044" s="1"/>
    </row>
    <row r="15045" spans="2:2" x14ac:dyDescent="0.25">
      <c r="B15045" s="1"/>
    </row>
    <row r="15046" spans="2:2" x14ac:dyDescent="0.25">
      <c r="B15046" s="1"/>
    </row>
    <row r="15047" spans="2:2" x14ac:dyDescent="0.25">
      <c r="B15047" s="1"/>
    </row>
    <row r="15048" spans="2:2" x14ac:dyDescent="0.25">
      <c r="B15048" s="1"/>
    </row>
    <row r="15049" spans="2:2" x14ac:dyDescent="0.25">
      <c r="B15049" s="1"/>
    </row>
    <row r="15050" spans="2:2" x14ac:dyDescent="0.25">
      <c r="B15050" s="1"/>
    </row>
    <row r="15051" spans="2:2" x14ac:dyDescent="0.25">
      <c r="B15051" s="1"/>
    </row>
    <row r="15052" spans="2:2" x14ac:dyDescent="0.25">
      <c r="B15052" s="1"/>
    </row>
    <row r="15053" spans="2:2" x14ac:dyDescent="0.25">
      <c r="B15053" s="1"/>
    </row>
    <row r="15054" spans="2:2" x14ac:dyDescent="0.25">
      <c r="B15054" s="1"/>
    </row>
    <row r="15055" spans="2:2" x14ac:dyDescent="0.25">
      <c r="B15055" s="1"/>
    </row>
    <row r="15056" spans="2:2" x14ac:dyDescent="0.25">
      <c r="B15056" s="1"/>
    </row>
    <row r="15057" spans="2:2" x14ac:dyDescent="0.25">
      <c r="B15057" s="1"/>
    </row>
    <row r="15058" spans="2:2" x14ac:dyDescent="0.25">
      <c r="B15058" s="1"/>
    </row>
    <row r="15059" spans="2:2" x14ac:dyDescent="0.25">
      <c r="B15059" s="1"/>
    </row>
    <row r="15060" spans="2:2" x14ac:dyDescent="0.25">
      <c r="B15060" s="1"/>
    </row>
    <row r="15061" spans="2:2" x14ac:dyDescent="0.25">
      <c r="B15061" s="1"/>
    </row>
    <row r="15062" spans="2:2" x14ac:dyDescent="0.25">
      <c r="B15062" s="1"/>
    </row>
    <row r="15063" spans="2:2" x14ac:dyDescent="0.25">
      <c r="B15063" s="1"/>
    </row>
    <row r="15064" spans="2:2" x14ac:dyDescent="0.25">
      <c r="B15064" s="1"/>
    </row>
    <row r="15065" spans="2:2" x14ac:dyDescent="0.25">
      <c r="B15065" s="1"/>
    </row>
    <row r="15066" spans="2:2" x14ac:dyDescent="0.25">
      <c r="B15066" s="1"/>
    </row>
    <row r="15067" spans="2:2" x14ac:dyDescent="0.25">
      <c r="B15067" s="1"/>
    </row>
    <row r="15068" spans="2:2" x14ac:dyDescent="0.25">
      <c r="B15068" s="1"/>
    </row>
    <row r="15069" spans="2:2" x14ac:dyDescent="0.25">
      <c r="B15069" s="1"/>
    </row>
    <row r="15070" spans="2:2" x14ac:dyDescent="0.25">
      <c r="B15070" s="1"/>
    </row>
    <row r="15071" spans="2:2" x14ac:dyDescent="0.25">
      <c r="B15071" s="1"/>
    </row>
    <row r="15072" spans="2:2" x14ac:dyDescent="0.25">
      <c r="B15072" s="1"/>
    </row>
    <row r="15073" spans="2:2" x14ac:dyDescent="0.25">
      <c r="B15073" s="1"/>
    </row>
    <row r="15074" spans="2:2" x14ac:dyDescent="0.25">
      <c r="B15074" s="1"/>
    </row>
    <row r="15075" spans="2:2" x14ac:dyDescent="0.25">
      <c r="B15075" s="1"/>
    </row>
    <row r="15076" spans="2:2" x14ac:dyDescent="0.25">
      <c r="B15076" s="1"/>
    </row>
    <row r="15077" spans="2:2" x14ac:dyDescent="0.25">
      <c r="B15077" s="1"/>
    </row>
    <row r="15078" spans="2:2" x14ac:dyDescent="0.25">
      <c r="B15078" s="1"/>
    </row>
    <row r="15079" spans="2:2" x14ac:dyDescent="0.25">
      <c r="B15079" s="1"/>
    </row>
    <row r="15080" spans="2:2" x14ac:dyDescent="0.25">
      <c r="B15080" s="1"/>
    </row>
    <row r="15081" spans="2:2" x14ac:dyDescent="0.25">
      <c r="B15081" s="1"/>
    </row>
    <row r="15082" spans="2:2" x14ac:dyDescent="0.25">
      <c r="B15082" s="1"/>
    </row>
    <row r="15083" spans="2:2" x14ac:dyDescent="0.25">
      <c r="B15083" s="1"/>
    </row>
    <row r="15084" spans="2:2" x14ac:dyDescent="0.25">
      <c r="B15084" s="1"/>
    </row>
    <row r="15085" spans="2:2" x14ac:dyDescent="0.25">
      <c r="B15085" s="1"/>
    </row>
    <row r="15086" spans="2:2" x14ac:dyDescent="0.25">
      <c r="B15086" s="1"/>
    </row>
    <row r="15087" spans="2:2" x14ac:dyDescent="0.25">
      <c r="B15087" s="1"/>
    </row>
    <row r="15088" spans="2:2" x14ac:dyDescent="0.25">
      <c r="B15088" s="1"/>
    </row>
    <row r="15089" spans="2:2" x14ac:dyDescent="0.25">
      <c r="B15089" s="1"/>
    </row>
    <row r="15090" spans="2:2" x14ac:dyDescent="0.25">
      <c r="B15090" s="1"/>
    </row>
    <row r="15091" spans="2:2" x14ac:dyDescent="0.25">
      <c r="B15091" s="1"/>
    </row>
    <row r="15092" spans="2:2" x14ac:dyDescent="0.25">
      <c r="B15092" s="1"/>
    </row>
    <row r="15093" spans="2:2" x14ac:dyDescent="0.25">
      <c r="B15093" s="1"/>
    </row>
    <row r="15094" spans="2:2" x14ac:dyDescent="0.25">
      <c r="B15094" s="1"/>
    </row>
    <row r="15095" spans="2:2" x14ac:dyDescent="0.25">
      <c r="B15095" s="1"/>
    </row>
    <row r="15096" spans="2:2" x14ac:dyDescent="0.25">
      <c r="B15096" s="1"/>
    </row>
    <row r="15097" spans="2:2" x14ac:dyDescent="0.25">
      <c r="B15097" s="1"/>
    </row>
    <row r="15098" spans="2:2" x14ac:dyDescent="0.25">
      <c r="B15098" s="1"/>
    </row>
    <row r="15099" spans="2:2" x14ac:dyDescent="0.25">
      <c r="B15099" s="1"/>
    </row>
    <row r="15100" spans="2:2" x14ac:dyDescent="0.25">
      <c r="B15100" s="1"/>
    </row>
    <row r="15101" spans="2:2" x14ac:dyDescent="0.25">
      <c r="B15101" s="1"/>
    </row>
    <row r="15102" spans="2:2" x14ac:dyDescent="0.25">
      <c r="B15102" s="1"/>
    </row>
    <row r="15103" spans="2:2" x14ac:dyDescent="0.25">
      <c r="B15103" s="1"/>
    </row>
    <row r="15104" spans="2:2" x14ac:dyDescent="0.25">
      <c r="B15104" s="1"/>
    </row>
    <row r="15105" spans="2:2" x14ac:dyDescent="0.25">
      <c r="B15105" s="1"/>
    </row>
    <row r="15106" spans="2:2" x14ac:dyDescent="0.25">
      <c r="B15106" s="1"/>
    </row>
    <row r="15107" spans="2:2" x14ac:dyDescent="0.25">
      <c r="B15107" s="1"/>
    </row>
    <row r="15108" spans="2:2" x14ac:dyDescent="0.25">
      <c r="B15108" s="1"/>
    </row>
    <row r="15109" spans="2:2" x14ac:dyDescent="0.25">
      <c r="B15109" s="1"/>
    </row>
    <row r="15110" spans="2:2" x14ac:dyDescent="0.25">
      <c r="B15110" s="1"/>
    </row>
    <row r="15111" spans="2:2" x14ac:dyDescent="0.25">
      <c r="B15111" s="1"/>
    </row>
    <row r="15112" spans="2:2" x14ac:dyDescent="0.25">
      <c r="B15112" s="1"/>
    </row>
    <row r="15113" spans="2:2" x14ac:dyDescent="0.25">
      <c r="B15113" s="1"/>
    </row>
    <row r="15114" spans="2:2" x14ac:dyDescent="0.25">
      <c r="B15114" s="1"/>
    </row>
    <row r="15115" spans="2:2" x14ac:dyDescent="0.25">
      <c r="B15115" s="1"/>
    </row>
    <row r="15116" spans="2:2" x14ac:dyDescent="0.25">
      <c r="B15116" s="1"/>
    </row>
    <row r="15117" spans="2:2" x14ac:dyDescent="0.25">
      <c r="B15117" s="1"/>
    </row>
    <row r="15118" spans="2:2" x14ac:dyDescent="0.25">
      <c r="B15118" s="1"/>
    </row>
    <row r="15119" spans="2:2" x14ac:dyDescent="0.25">
      <c r="B15119" s="1"/>
    </row>
    <row r="15120" spans="2:2" x14ac:dyDescent="0.25">
      <c r="B15120" s="1"/>
    </row>
    <row r="15121" spans="2:2" x14ac:dyDescent="0.25">
      <c r="B15121" s="1"/>
    </row>
    <row r="15122" spans="2:2" x14ac:dyDescent="0.25">
      <c r="B15122" s="1"/>
    </row>
    <row r="15123" spans="2:2" x14ac:dyDescent="0.25">
      <c r="B15123" s="1"/>
    </row>
    <row r="15124" spans="2:2" x14ac:dyDescent="0.25">
      <c r="B15124" s="1"/>
    </row>
    <row r="15125" spans="2:2" x14ac:dyDescent="0.25">
      <c r="B15125" s="1"/>
    </row>
    <row r="15126" spans="2:2" x14ac:dyDescent="0.25">
      <c r="B15126" s="1"/>
    </row>
    <row r="15127" spans="2:2" x14ac:dyDescent="0.25">
      <c r="B15127" s="1"/>
    </row>
    <row r="15128" spans="2:2" x14ac:dyDescent="0.25">
      <c r="B15128" s="1"/>
    </row>
    <row r="15129" spans="2:2" x14ac:dyDescent="0.25">
      <c r="B15129" s="1"/>
    </row>
    <row r="15130" spans="2:2" x14ac:dyDescent="0.25">
      <c r="B15130" s="1"/>
    </row>
    <row r="15131" spans="2:2" x14ac:dyDescent="0.25">
      <c r="B15131" s="1"/>
    </row>
    <row r="15132" spans="2:2" x14ac:dyDescent="0.25">
      <c r="B15132" s="1"/>
    </row>
    <row r="15133" spans="2:2" x14ac:dyDescent="0.25">
      <c r="B15133" s="1"/>
    </row>
    <row r="15134" spans="2:2" x14ac:dyDescent="0.25">
      <c r="B15134" s="1"/>
    </row>
    <row r="15135" spans="2:2" x14ac:dyDescent="0.25">
      <c r="B15135" s="1"/>
    </row>
    <row r="15136" spans="2:2" x14ac:dyDescent="0.25">
      <c r="B15136" s="1"/>
    </row>
    <row r="15137" spans="2:2" x14ac:dyDescent="0.25">
      <c r="B15137" s="1"/>
    </row>
    <row r="15138" spans="2:2" x14ac:dyDescent="0.25">
      <c r="B15138" s="1"/>
    </row>
    <row r="15139" spans="2:2" x14ac:dyDescent="0.25">
      <c r="B15139" s="1"/>
    </row>
    <row r="15140" spans="2:2" x14ac:dyDescent="0.25">
      <c r="B15140" s="1"/>
    </row>
    <row r="15141" spans="2:2" x14ac:dyDescent="0.25">
      <c r="B15141" s="1"/>
    </row>
    <row r="15142" spans="2:2" x14ac:dyDescent="0.25">
      <c r="B15142" s="1"/>
    </row>
    <row r="15143" spans="2:2" x14ac:dyDescent="0.25">
      <c r="B15143" s="1"/>
    </row>
    <row r="15144" spans="2:2" x14ac:dyDescent="0.25">
      <c r="B15144" s="1"/>
    </row>
    <row r="15145" spans="2:2" x14ac:dyDescent="0.25">
      <c r="B15145" s="1"/>
    </row>
    <row r="15146" spans="2:2" x14ac:dyDescent="0.25">
      <c r="B15146" s="1"/>
    </row>
    <row r="15147" spans="2:2" x14ac:dyDescent="0.25">
      <c r="B15147" s="1"/>
    </row>
    <row r="15148" spans="2:2" x14ac:dyDescent="0.25">
      <c r="B15148" s="1"/>
    </row>
    <row r="15149" spans="2:2" x14ac:dyDescent="0.25">
      <c r="B15149" s="1"/>
    </row>
    <row r="15150" spans="2:2" x14ac:dyDescent="0.25">
      <c r="B15150" s="1"/>
    </row>
    <row r="15151" spans="2:2" x14ac:dyDescent="0.25">
      <c r="B15151" s="1"/>
    </row>
    <row r="15152" spans="2:2" x14ac:dyDescent="0.25">
      <c r="B15152" s="1"/>
    </row>
    <row r="15153" spans="2:2" x14ac:dyDescent="0.25">
      <c r="B15153" s="1"/>
    </row>
    <row r="15154" spans="2:2" x14ac:dyDescent="0.25">
      <c r="B15154" s="1"/>
    </row>
    <row r="15155" spans="2:2" x14ac:dyDescent="0.25">
      <c r="B15155" s="1"/>
    </row>
    <row r="15156" spans="2:2" x14ac:dyDescent="0.25">
      <c r="B15156" s="1"/>
    </row>
    <row r="15157" spans="2:2" x14ac:dyDescent="0.25">
      <c r="B15157" s="1"/>
    </row>
    <row r="15158" spans="2:2" x14ac:dyDescent="0.25">
      <c r="B15158" s="1"/>
    </row>
    <row r="15159" spans="2:2" x14ac:dyDescent="0.25">
      <c r="B15159" s="1"/>
    </row>
    <row r="15160" spans="2:2" x14ac:dyDescent="0.25">
      <c r="B15160" s="1"/>
    </row>
    <row r="15161" spans="2:2" x14ac:dyDescent="0.25">
      <c r="B15161" s="1"/>
    </row>
    <row r="15162" spans="2:2" x14ac:dyDescent="0.25">
      <c r="B15162" s="1"/>
    </row>
    <row r="15163" spans="2:2" x14ac:dyDescent="0.25">
      <c r="B15163" s="1"/>
    </row>
    <row r="15164" spans="2:2" x14ac:dyDescent="0.25">
      <c r="B15164" s="1"/>
    </row>
    <row r="15165" spans="2:2" x14ac:dyDescent="0.25">
      <c r="B15165" s="1"/>
    </row>
    <row r="15166" spans="2:2" x14ac:dyDescent="0.25">
      <c r="B15166" s="1"/>
    </row>
    <row r="15167" spans="2:2" x14ac:dyDescent="0.25">
      <c r="B15167" s="1"/>
    </row>
    <row r="15168" spans="2:2" x14ac:dyDescent="0.25">
      <c r="B15168" s="1"/>
    </row>
    <row r="15169" spans="2:2" x14ac:dyDescent="0.25">
      <c r="B15169" s="1"/>
    </row>
    <row r="15170" spans="2:2" x14ac:dyDescent="0.25">
      <c r="B15170" s="1"/>
    </row>
    <row r="15171" spans="2:2" x14ac:dyDescent="0.25">
      <c r="B15171" s="1"/>
    </row>
    <row r="15172" spans="2:2" x14ac:dyDescent="0.25">
      <c r="B15172" s="1"/>
    </row>
    <row r="15173" spans="2:2" x14ac:dyDescent="0.25">
      <c r="B15173" s="1"/>
    </row>
    <row r="15174" spans="2:2" x14ac:dyDescent="0.25">
      <c r="B15174" s="1"/>
    </row>
    <row r="15175" spans="2:2" x14ac:dyDescent="0.25">
      <c r="B15175" s="1"/>
    </row>
    <row r="15176" spans="2:2" x14ac:dyDescent="0.25">
      <c r="B15176" s="1"/>
    </row>
    <row r="15177" spans="2:2" x14ac:dyDescent="0.25">
      <c r="B15177" s="1"/>
    </row>
    <row r="15178" spans="2:2" x14ac:dyDescent="0.25">
      <c r="B15178" s="1"/>
    </row>
    <row r="15179" spans="2:2" x14ac:dyDescent="0.25">
      <c r="B15179" s="1"/>
    </row>
    <row r="15180" spans="2:2" x14ac:dyDescent="0.25">
      <c r="B15180" s="1"/>
    </row>
    <row r="15181" spans="2:2" x14ac:dyDescent="0.25">
      <c r="B15181" s="1"/>
    </row>
    <row r="15182" spans="2:2" x14ac:dyDescent="0.25">
      <c r="B15182" s="1"/>
    </row>
    <row r="15183" spans="2:2" x14ac:dyDescent="0.25">
      <c r="B15183" s="1"/>
    </row>
    <row r="15184" spans="2:2" x14ac:dyDescent="0.25">
      <c r="B15184" s="1"/>
    </row>
    <row r="15185" spans="2:2" x14ac:dyDescent="0.25">
      <c r="B15185" s="1"/>
    </row>
    <row r="15186" spans="2:2" x14ac:dyDescent="0.25">
      <c r="B15186" s="1"/>
    </row>
    <row r="15187" spans="2:2" x14ac:dyDescent="0.25">
      <c r="B15187" s="1"/>
    </row>
    <row r="15188" spans="2:2" x14ac:dyDescent="0.25">
      <c r="B15188" s="1"/>
    </row>
    <row r="15189" spans="2:2" x14ac:dyDescent="0.25">
      <c r="B15189" s="1"/>
    </row>
    <row r="15190" spans="2:2" x14ac:dyDescent="0.25">
      <c r="B15190" s="1"/>
    </row>
    <row r="15191" spans="2:2" x14ac:dyDescent="0.25">
      <c r="B15191" s="1"/>
    </row>
    <row r="15192" spans="2:2" x14ac:dyDescent="0.25">
      <c r="B15192" s="1"/>
    </row>
    <row r="15193" spans="2:2" x14ac:dyDescent="0.25">
      <c r="B15193" s="1"/>
    </row>
    <row r="15194" spans="2:2" x14ac:dyDescent="0.25">
      <c r="B15194" s="1"/>
    </row>
    <row r="15195" spans="2:2" x14ac:dyDescent="0.25">
      <c r="B15195" s="1"/>
    </row>
    <row r="15196" spans="2:2" x14ac:dyDescent="0.25">
      <c r="B15196" s="1"/>
    </row>
    <row r="15197" spans="2:2" x14ac:dyDescent="0.25">
      <c r="B15197" s="1"/>
    </row>
    <row r="15198" spans="2:2" x14ac:dyDescent="0.25">
      <c r="B15198" s="1"/>
    </row>
    <row r="15199" spans="2:2" x14ac:dyDescent="0.25">
      <c r="B15199" s="1"/>
    </row>
    <row r="15200" spans="2:2" x14ac:dyDescent="0.25">
      <c r="B15200" s="1"/>
    </row>
    <row r="15201" spans="2:2" x14ac:dyDescent="0.25">
      <c r="B15201" s="1"/>
    </row>
    <row r="15202" spans="2:2" x14ac:dyDescent="0.25">
      <c r="B15202" s="1"/>
    </row>
    <row r="15203" spans="2:2" x14ac:dyDescent="0.25">
      <c r="B15203" s="1"/>
    </row>
    <row r="15204" spans="2:2" x14ac:dyDescent="0.25">
      <c r="B15204" s="1"/>
    </row>
    <row r="15205" spans="2:2" x14ac:dyDescent="0.25">
      <c r="B15205" s="1"/>
    </row>
    <row r="15206" spans="2:2" x14ac:dyDescent="0.25">
      <c r="B15206" s="1"/>
    </row>
    <row r="15207" spans="2:2" x14ac:dyDescent="0.25">
      <c r="B15207" s="1"/>
    </row>
    <row r="15208" spans="2:2" x14ac:dyDescent="0.25">
      <c r="B15208" s="1"/>
    </row>
    <row r="15209" spans="2:2" x14ac:dyDescent="0.25">
      <c r="B15209" s="1"/>
    </row>
    <row r="15210" spans="2:2" x14ac:dyDescent="0.25">
      <c r="B15210" s="1"/>
    </row>
    <row r="15211" spans="2:2" x14ac:dyDescent="0.25">
      <c r="B15211" s="1"/>
    </row>
    <row r="15212" spans="2:2" x14ac:dyDescent="0.25">
      <c r="B15212" s="1"/>
    </row>
    <row r="15213" spans="2:2" x14ac:dyDescent="0.25">
      <c r="B15213" s="1"/>
    </row>
    <row r="15214" spans="2:2" x14ac:dyDescent="0.25">
      <c r="B15214" s="1"/>
    </row>
    <row r="15215" spans="2:2" x14ac:dyDescent="0.25">
      <c r="B15215" s="1"/>
    </row>
    <row r="15216" spans="2:2" x14ac:dyDescent="0.25">
      <c r="B15216" s="1"/>
    </row>
    <row r="15217" spans="2:2" x14ac:dyDescent="0.25">
      <c r="B15217" s="1"/>
    </row>
    <row r="15218" spans="2:2" x14ac:dyDescent="0.25">
      <c r="B15218" s="1"/>
    </row>
    <row r="15219" spans="2:2" x14ac:dyDescent="0.25">
      <c r="B15219" s="1"/>
    </row>
    <row r="15220" spans="2:2" x14ac:dyDescent="0.25">
      <c r="B15220" s="1"/>
    </row>
    <row r="15221" spans="2:2" x14ac:dyDescent="0.25">
      <c r="B15221" s="1"/>
    </row>
    <row r="15222" spans="2:2" x14ac:dyDescent="0.25">
      <c r="B15222" s="1"/>
    </row>
    <row r="15223" spans="2:2" x14ac:dyDescent="0.25">
      <c r="B15223" s="1"/>
    </row>
    <row r="15224" spans="2:2" x14ac:dyDescent="0.25">
      <c r="B15224" s="1"/>
    </row>
    <row r="15225" spans="2:2" x14ac:dyDescent="0.25">
      <c r="B15225" s="1"/>
    </row>
    <row r="15226" spans="2:2" x14ac:dyDescent="0.25">
      <c r="B15226" s="1"/>
    </row>
    <row r="15227" spans="2:2" x14ac:dyDescent="0.25">
      <c r="B15227" s="1"/>
    </row>
    <row r="15228" spans="2:2" x14ac:dyDescent="0.25">
      <c r="B15228" s="1"/>
    </row>
    <row r="15229" spans="2:2" x14ac:dyDescent="0.25">
      <c r="B15229" s="1"/>
    </row>
    <row r="15230" spans="2:2" x14ac:dyDescent="0.25">
      <c r="B15230" s="1"/>
    </row>
    <row r="15231" spans="2:2" x14ac:dyDescent="0.25">
      <c r="B15231" s="1"/>
    </row>
    <row r="15232" spans="2:2" x14ac:dyDescent="0.25">
      <c r="B15232" s="1"/>
    </row>
    <row r="15233" spans="2:2" x14ac:dyDescent="0.25">
      <c r="B15233" s="1"/>
    </row>
    <row r="15234" spans="2:2" x14ac:dyDescent="0.25">
      <c r="B15234" s="1"/>
    </row>
    <row r="15235" spans="2:2" x14ac:dyDescent="0.25">
      <c r="B15235" s="1"/>
    </row>
    <row r="15236" spans="2:2" x14ac:dyDescent="0.25">
      <c r="B15236" s="1"/>
    </row>
    <row r="15237" spans="2:2" x14ac:dyDescent="0.25">
      <c r="B15237" s="1"/>
    </row>
    <row r="15238" spans="2:2" x14ac:dyDescent="0.25">
      <c r="B15238" s="1"/>
    </row>
    <row r="15239" spans="2:2" x14ac:dyDescent="0.25">
      <c r="B15239" s="1"/>
    </row>
    <row r="15240" spans="2:2" x14ac:dyDescent="0.25">
      <c r="B15240" s="1"/>
    </row>
    <row r="15241" spans="2:2" x14ac:dyDescent="0.25">
      <c r="B15241" s="1"/>
    </row>
    <row r="15242" spans="2:2" x14ac:dyDescent="0.25">
      <c r="B15242" s="1"/>
    </row>
    <row r="15243" spans="2:2" x14ac:dyDescent="0.25">
      <c r="B15243" s="1"/>
    </row>
    <row r="15244" spans="2:2" x14ac:dyDescent="0.25">
      <c r="B15244" s="1"/>
    </row>
    <row r="15245" spans="2:2" x14ac:dyDescent="0.25">
      <c r="B15245" s="1"/>
    </row>
    <row r="15246" spans="2:2" x14ac:dyDescent="0.25">
      <c r="B15246" s="1"/>
    </row>
    <row r="15247" spans="2:2" x14ac:dyDescent="0.25">
      <c r="B15247" s="1"/>
    </row>
    <row r="15248" spans="2:2" x14ac:dyDescent="0.25">
      <c r="B15248" s="1"/>
    </row>
    <row r="15249" spans="2:2" x14ac:dyDescent="0.25">
      <c r="B15249" s="1"/>
    </row>
    <row r="15250" spans="2:2" x14ac:dyDescent="0.25">
      <c r="B15250" s="1"/>
    </row>
    <row r="15251" spans="2:2" x14ac:dyDescent="0.25">
      <c r="B15251" s="1"/>
    </row>
    <row r="15252" spans="2:2" x14ac:dyDescent="0.25">
      <c r="B15252" s="1"/>
    </row>
    <row r="15253" spans="2:2" x14ac:dyDescent="0.25">
      <c r="B15253" s="1"/>
    </row>
    <row r="15254" spans="2:2" x14ac:dyDescent="0.25">
      <c r="B15254" s="1"/>
    </row>
    <row r="15255" spans="2:2" x14ac:dyDescent="0.25">
      <c r="B15255" s="1"/>
    </row>
    <row r="15256" spans="2:2" x14ac:dyDescent="0.25">
      <c r="B15256" s="1"/>
    </row>
    <row r="15257" spans="2:2" x14ac:dyDescent="0.25">
      <c r="B15257" s="1"/>
    </row>
    <row r="15258" spans="2:2" x14ac:dyDescent="0.25">
      <c r="B15258" s="1"/>
    </row>
    <row r="15259" spans="2:2" x14ac:dyDescent="0.25">
      <c r="B15259" s="1"/>
    </row>
    <row r="15260" spans="2:2" x14ac:dyDescent="0.25">
      <c r="B15260" s="1"/>
    </row>
    <row r="15261" spans="2:2" x14ac:dyDescent="0.25">
      <c r="B15261" s="1"/>
    </row>
    <row r="15262" spans="2:2" x14ac:dyDescent="0.25">
      <c r="B15262" s="1"/>
    </row>
    <row r="15263" spans="2:2" x14ac:dyDescent="0.25">
      <c r="B15263" s="1"/>
    </row>
    <row r="15264" spans="2:2" x14ac:dyDescent="0.25">
      <c r="B15264" s="1"/>
    </row>
    <row r="15265" spans="2:2" x14ac:dyDescent="0.25">
      <c r="B15265" s="1"/>
    </row>
    <row r="15266" spans="2:2" x14ac:dyDescent="0.25">
      <c r="B15266" s="1"/>
    </row>
    <row r="15267" spans="2:2" x14ac:dyDescent="0.25">
      <c r="B15267" s="1"/>
    </row>
    <row r="15268" spans="2:2" x14ac:dyDescent="0.25">
      <c r="B15268" s="1"/>
    </row>
    <row r="15269" spans="2:2" x14ac:dyDescent="0.25">
      <c r="B15269" s="1"/>
    </row>
    <row r="15270" spans="2:2" x14ac:dyDescent="0.25">
      <c r="B15270" s="1"/>
    </row>
    <row r="15271" spans="2:2" x14ac:dyDescent="0.25">
      <c r="B15271" s="1"/>
    </row>
    <row r="15272" spans="2:2" x14ac:dyDescent="0.25">
      <c r="B15272" s="1"/>
    </row>
    <row r="15273" spans="2:2" x14ac:dyDescent="0.25">
      <c r="B15273" s="1"/>
    </row>
    <row r="15274" spans="2:2" x14ac:dyDescent="0.25">
      <c r="B15274" s="1"/>
    </row>
    <row r="15275" spans="2:2" x14ac:dyDescent="0.25">
      <c r="B15275" s="1"/>
    </row>
    <row r="15276" spans="2:2" x14ac:dyDescent="0.25">
      <c r="B15276" s="1"/>
    </row>
    <row r="15277" spans="2:2" x14ac:dyDescent="0.25">
      <c r="B15277" s="1"/>
    </row>
    <row r="15278" spans="2:2" x14ac:dyDescent="0.25">
      <c r="B15278" s="1"/>
    </row>
    <row r="15279" spans="2:2" x14ac:dyDescent="0.25">
      <c r="B15279" s="1"/>
    </row>
    <row r="15280" spans="2:2" x14ac:dyDescent="0.25">
      <c r="B15280" s="1"/>
    </row>
    <row r="15281" spans="2:2" x14ac:dyDescent="0.25">
      <c r="B15281" s="1"/>
    </row>
    <row r="15282" spans="2:2" x14ac:dyDescent="0.25">
      <c r="B15282" s="1"/>
    </row>
    <row r="15283" spans="2:2" x14ac:dyDescent="0.25">
      <c r="B15283" s="1"/>
    </row>
    <row r="15284" spans="2:2" x14ac:dyDescent="0.25">
      <c r="B15284" s="1"/>
    </row>
    <row r="15285" spans="2:2" x14ac:dyDescent="0.25">
      <c r="B15285" s="1"/>
    </row>
    <row r="15286" spans="2:2" x14ac:dyDescent="0.25">
      <c r="B15286" s="1"/>
    </row>
    <row r="15287" spans="2:2" x14ac:dyDescent="0.25">
      <c r="B15287" s="1"/>
    </row>
    <row r="15288" spans="2:2" x14ac:dyDescent="0.25">
      <c r="B15288" s="1"/>
    </row>
    <row r="15289" spans="2:2" x14ac:dyDescent="0.25">
      <c r="B15289" s="1"/>
    </row>
    <row r="15290" spans="2:2" x14ac:dyDescent="0.25">
      <c r="B15290" s="1"/>
    </row>
    <row r="15291" spans="2:2" x14ac:dyDescent="0.25">
      <c r="B15291" s="1"/>
    </row>
    <row r="15292" spans="2:2" x14ac:dyDescent="0.25">
      <c r="B15292" s="1"/>
    </row>
    <row r="15293" spans="2:2" x14ac:dyDescent="0.25">
      <c r="B15293" s="1"/>
    </row>
    <row r="15294" spans="2:2" x14ac:dyDescent="0.25">
      <c r="B15294" s="1"/>
    </row>
    <row r="15295" spans="2:2" x14ac:dyDescent="0.25">
      <c r="B15295" s="1"/>
    </row>
    <row r="15296" spans="2:2" x14ac:dyDescent="0.25">
      <c r="B15296" s="1"/>
    </row>
    <row r="15297" spans="2:2" x14ac:dyDescent="0.25">
      <c r="B15297" s="1"/>
    </row>
    <row r="15298" spans="2:2" x14ac:dyDescent="0.25">
      <c r="B15298" s="1"/>
    </row>
    <row r="15299" spans="2:2" x14ac:dyDescent="0.25">
      <c r="B15299" s="1"/>
    </row>
    <row r="15300" spans="2:2" x14ac:dyDescent="0.25">
      <c r="B15300" s="1"/>
    </row>
    <row r="15301" spans="2:2" x14ac:dyDescent="0.25">
      <c r="B15301" s="1"/>
    </row>
    <row r="15302" spans="2:2" x14ac:dyDescent="0.25">
      <c r="B15302" s="1"/>
    </row>
    <row r="15303" spans="2:2" x14ac:dyDescent="0.25">
      <c r="B15303" s="1"/>
    </row>
    <row r="15304" spans="2:2" x14ac:dyDescent="0.25">
      <c r="B15304" s="1"/>
    </row>
    <row r="15305" spans="2:2" x14ac:dyDescent="0.25">
      <c r="B15305" s="1"/>
    </row>
    <row r="15306" spans="2:2" x14ac:dyDescent="0.25">
      <c r="B15306" s="1"/>
    </row>
    <row r="15307" spans="2:2" x14ac:dyDescent="0.25">
      <c r="B15307" s="1"/>
    </row>
    <row r="15308" spans="2:2" x14ac:dyDescent="0.25">
      <c r="B15308" s="1"/>
    </row>
    <row r="15309" spans="2:2" x14ac:dyDescent="0.25">
      <c r="B15309" s="1"/>
    </row>
    <row r="15310" spans="2:2" x14ac:dyDescent="0.25">
      <c r="B15310" s="1"/>
    </row>
    <row r="15311" spans="2:2" x14ac:dyDescent="0.25">
      <c r="B15311" s="1"/>
    </row>
    <row r="15312" spans="2:2" x14ac:dyDescent="0.25">
      <c r="B15312" s="1"/>
    </row>
    <row r="15313" spans="2:2" x14ac:dyDescent="0.25">
      <c r="B15313" s="1"/>
    </row>
    <row r="15314" spans="2:2" x14ac:dyDescent="0.25">
      <c r="B15314" s="1"/>
    </row>
    <row r="15315" spans="2:2" x14ac:dyDescent="0.25">
      <c r="B15315" s="1"/>
    </row>
    <row r="15316" spans="2:2" x14ac:dyDescent="0.25">
      <c r="B15316" s="1"/>
    </row>
    <row r="15317" spans="2:2" x14ac:dyDescent="0.25">
      <c r="B15317" s="1"/>
    </row>
    <row r="15318" spans="2:2" x14ac:dyDescent="0.25">
      <c r="B15318" s="1"/>
    </row>
    <row r="15319" spans="2:2" x14ac:dyDescent="0.25">
      <c r="B15319" s="1"/>
    </row>
    <row r="15320" spans="2:2" x14ac:dyDescent="0.25">
      <c r="B15320" s="1"/>
    </row>
    <row r="15321" spans="2:2" x14ac:dyDescent="0.25">
      <c r="B15321" s="1"/>
    </row>
    <row r="15322" spans="2:2" x14ac:dyDescent="0.25">
      <c r="B15322" s="1"/>
    </row>
    <row r="15323" spans="2:2" x14ac:dyDescent="0.25">
      <c r="B15323" s="1"/>
    </row>
    <row r="15324" spans="2:2" x14ac:dyDescent="0.25">
      <c r="B15324" s="1"/>
    </row>
    <row r="15325" spans="2:2" x14ac:dyDescent="0.25">
      <c r="B15325" s="1"/>
    </row>
    <row r="15326" spans="2:2" x14ac:dyDescent="0.25">
      <c r="B15326" s="1"/>
    </row>
    <row r="15327" spans="2:2" x14ac:dyDescent="0.25">
      <c r="B15327" s="1"/>
    </row>
    <row r="15328" spans="2:2" x14ac:dyDescent="0.25">
      <c r="B15328" s="1"/>
    </row>
    <row r="15329" spans="2:2" x14ac:dyDescent="0.25">
      <c r="B15329" s="1"/>
    </row>
    <row r="15330" spans="2:2" x14ac:dyDescent="0.25">
      <c r="B15330" s="1"/>
    </row>
    <row r="15331" spans="2:2" x14ac:dyDescent="0.25">
      <c r="B15331" s="1"/>
    </row>
    <row r="15332" spans="2:2" x14ac:dyDescent="0.25">
      <c r="B15332" s="1"/>
    </row>
    <row r="15333" spans="2:2" x14ac:dyDescent="0.25">
      <c r="B15333" s="1"/>
    </row>
    <row r="15334" spans="2:2" x14ac:dyDescent="0.25">
      <c r="B15334" s="1"/>
    </row>
    <row r="15335" spans="2:2" x14ac:dyDescent="0.25">
      <c r="B15335" s="1"/>
    </row>
    <row r="15336" spans="2:2" x14ac:dyDescent="0.25">
      <c r="B15336" s="1"/>
    </row>
    <row r="15337" spans="2:2" x14ac:dyDescent="0.25">
      <c r="B15337" s="1"/>
    </row>
    <row r="15338" spans="2:2" x14ac:dyDescent="0.25">
      <c r="B15338" s="1"/>
    </row>
    <row r="15339" spans="2:2" x14ac:dyDescent="0.25">
      <c r="B15339" s="1"/>
    </row>
    <row r="15340" spans="2:2" x14ac:dyDescent="0.25">
      <c r="B15340" s="1"/>
    </row>
    <row r="15341" spans="2:2" x14ac:dyDescent="0.25">
      <c r="B15341" s="1"/>
    </row>
    <row r="15342" spans="2:2" x14ac:dyDescent="0.25">
      <c r="B15342" s="1"/>
    </row>
    <row r="15343" spans="2:2" x14ac:dyDescent="0.25">
      <c r="B15343" s="1"/>
    </row>
    <row r="15344" spans="2:2" x14ac:dyDescent="0.25">
      <c r="B15344" s="1"/>
    </row>
    <row r="15345" spans="2:2" x14ac:dyDescent="0.25">
      <c r="B15345" s="1"/>
    </row>
    <row r="15346" spans="2:2" x14ac:dyDescent="0.25">
      <c r="B15346" s="1"/>
    </row>
    <row r="15347" spans="2:2" x14ac:dyDescent="0.25">
      <c r="B15347" s="1"/>
    </row>
    <row r="15348" spans="2:2" x14ac:dyDescent="0.25">
      <c r="B15348" s="1"/>
    </row>
    <row r="15349" spans="2:2" x14ac:dyDescent="0.25">
      <c r="B15349" s="1"/>
    </row>
    <row r="15350" spans="2:2" x14ac:dyDescent="0.25">
      <c r="B15350" s="1"/>
    </row>
    <row r="15351" spans="2:2" x14ac:dyDescent="0.25">
      <c r="B15351" s="1"/>
    </row>
    <row r="15352" spans="2:2" x14ac:dyDescent="0.25">
      <c r="B15352" s="1"/>
    </row>
    <row r="15353" spans="2:2" x14ac:dyDescent="0.25">
      <c r="B15353" s="1"/>
    </row>
    <row r="15354" spans="2:2" x14ac:dyDescent="0.25">
      <c r="B15354" s="1"/>
    </row>
    <row r="15355" spans="2:2" x14ac:dyDescent="0.25">
      <c r="B15355" s="1"/>
    </row>
    <row r="15356" spans="2:2" x14ac:dyDescent="0.25">
      <c r="B15356" s="1"/>
    </row>
    <row r="15357" spans="2:2" x14ac:dyDescent="0.25">
      <c r="B15357" s="1"/>
    </row>
    <row r="15358" spans="2:2" x14ac:dyDescent="0.25">
      <c r="B15358" s="1"/>
    </row>
    <row r="15359" spans="2:2" x14ac:dyDescent="0.25">
      <c r="B15359" s="1"/>
    </row>
    <row r="15360" spans="2:2" x14ac:dyDescent="0.25">
      <c r="B15360" s="1"/>
    </row>
    <row r="15361" spans="2:2" x14ac:dyDescent="0.25">
      <c r="B15361" s="1"/>
    </row>
    <row r="15362" spans="2:2" x14ac:dyDescent="0.25">
      <c r="B15362" s="1"/>
    </row>
    <row r="15363" spans="2:2" x14ac:dyDescent="0.25">
      <c r="B15363" s="1"/>
    </row>
    <row r="15364" spans="2:2" x14ac:dyDescent="0.25">
      <c r="B15364" s="1"/>
    </row>
    <row r="15365" spans="2:2" x14ac:dyDescent="0.25">
      <c r="B15365" s="1"/>
    </row>
    <row r="15366" spans="2:2" x14ac:dyDescent="0.25">
      <c r="B15366" s="1"/>
    </row>
    <row r="15367" spans="2:2" x14ac:dyDescent="0.25">
      <c r="B15367" s="1"/>
    </row>
    <row r="15368" spans="2:2" x14ac:dyDescent="0.25">
      <c r="B15368" s="1"/>
    </row>
    <row r="15369" spans="2:2" x14ac:dyDescent="0.25">
      <c r="B15369" s="1"/>
    </row>
    <row r="15370" spans="2:2" x14ac:dyDescent="0.25">
      <c r="B15370" s="1"/>
    </row>
    <row r="15371" spans="2:2" x14ac:dyDescent="0.25">
      <c r="B15371" s="1"/>
    </row>
    <row r="15372" spans="2:2" x14ac:dyDescent="0.25">
      <c r="B15372" s="1"/>
    </row>
    <row r="15373" spans="2:2" x14ac:dyDescent="0.25">
      <c r="B15373" s="1"/>
    </row>
    <row r="15374" spans="2:2" x14ac:dyDescent="0.25">
      <c r="B15374" s="1"/>
    </row>
    <row r="15375" spans="2:2" x14ac:dyDescent="0.25">
      <c r="B15375" s="1"/>
    </row>
    <row r="15376" spans="2:2" x14ac:dyDescent="0.25">
      <c r="B15376" s="1"/>
    </row>
    <row r="15377" spans="2:2" x14ac:dyDescent="0.25">
      <c r="B15377" s="1"/>
    </row>
    <row r="15378" spans="2:2" x14ac:dyDescent="0.25">
      <c r="B15378" s="1"/>
    </row>
    <row r="15379" spans="2:2" x14ac:dyDescent="0.25">
      <c r="B15379" s="1"/>
    </row>
    <row r="15380" spans="2:2" x14ac:dyDescent="0.25">
      <c r="B15380" s="1"/>
    </row>
    <row r="15381" spans="2:2" x14ac:dyDescent="0.25">
      <c r="B15381" s="1"/>
    </row>
    <row r="15382" spans="2:2" x14ac:dyDescent="0.25">
      <c r="B15382" s="1"/>
    </row>
    <row r="15383" spans="2:2" x14ac:dyDescent="0.25">
      <c r="B15383" s="1"/>
    </row>
    <row r="15384" spans="2:2" x14ac:dyDescent="0.25">
      <c r="B15384" s="1"/>
    </row>
    <row r="15385" spans="2:2" x14ac:dyDescent="0.25">
      <c r="B15385" s="1"/>
    </row>
    <row r="15386" spans="2:2" x14ac:dyDescent="0.25">
      <c r="B15386" s="1"/>
    </row>
    <row r="15387" spans="2:2" x14ac:dyDescent="0.25">
      <c r="B15387" s="1"/>
    </row>
    <row r="15388" spans="2:2" x14ac:dyDescent="0.25">
      <c r="B15388" s="1"/>
    </row>
    <row r="15389" spans="2:2" x14ac:dyDescent="0.25">
      <c r="B15389" s="1"/>
    </row>
    <row r="15390" spans="2:2" x14ac:dyDescent="0.25">
      <c r="B15390" s="1"/>
    </row>
    <row r="15391" spans="2:2" x14ac:dyDescent="0.25">
      <c r="B15391" s="1"/>
    </row>
    <row r="15392" spans="2:2" x14ac:dyDescent="0.25">
      <c r="B15392" s="1"/>
    </row>
    <row r="15393" spans="2:2" x14ac:dyDescent="0.25">
      <c r="B15393" s="1"/>
    </row>
    <row r="15394" spans="2:2" x14ac:dyDescent="0.25">
      <c r="B15394" s="1"/>
    </row>
    <row r="15395" spans="2:2" x14ac:dyDescent="0.25">
      <c r="B15395" s="1"/>
    </row>
    <row r="15396" spans="2:2" x14ac:dyDescent="0.25">
      <c r="B15396" s="1"/>
    </row>
    <row r="15397" spans="2:2" x14ac:dyDescent="0.25">
      <c r="B15397" s="1"/>
    </row>
    <row r="15398" spans="2:2" x14ac:dyDescent="0.25">
      <c r="B15398" s="1"/>
    </row>
    <row r="15399" spans="2:2" x14ac:dyDescent="0.25">
      <c r="B15399" s="1"/>
    </row>
    <row r="15400" spans="2:2" x14ac:dyDescent="0.25">
      <c r="B15400" s="1"/>
    </row>
    <row r="15401" spans="2:2" x14ac:dyDescent="0.25">
      <c r="B15401" s="1"/>
    </row>
    <row r="15402" spans="2:2" x14ac:dyDescent="0.25">
      <c r="B15402" s="1"/>
    </row>
    <row r="15403" spans="2:2" x14ac:dyDescent="0.25">
      <c r="B15403" s="1"/>
    </row>
    <row r="15404" spans="2:2" x14ac:dyDescent="0.25">
      <c r="B15404" s="1"/>
    </row>
    <row r="15405" spans="2:2" x14ac:dyDescent="0.25">
      <c r="B15405" s="1"/>
    </row>
    <row r="15406" spans="2:2" x14ac:dyDescent="0.25">
      <c r="B15406" s="1"/>
    </row>
    <row r="15407" spans="2:2" x14ac:dyDescent="0.25">
      <c r="B15407" s="1"/>
    </row>
    <row r="15408" spans="2:2" x14ac:dyDescent="0.25">
      <c r="B15408" s="1"/>
    </row>
    <row r="15409" spans="2:2" x14ac:dyDescent="0.25">
      <c r="B15409" s="1"/>
    </row>
    <row r="15410" spans="2:2" x14ac:dyDescent="0.25">
      <c r="B15410" s="1"/>
    </row>
    <row r="15411" spans="2:2" x14ac:dyDescent="0.25">
      <c r="B15411" s="1"/>
    </row>
    <row r="15412" spans="2:2" x14ac:dyDescent="0.25">
      <c r="B15412" s="1"/>
    </row>
    <row r="15413" spans="2:2" x14ac:dyDescent="0.25">
      <c r="B15413" s="1"/>
    </row>
    <row r="15414" spans="2:2" x14ac:dyDescent="0.25">
      <c r="B15414" s="1"/>
    </row>
    <row r="15415" spans="2:2" x14ac:dyDescent="0.25">
      <c r="B15415" s="1"/>
    </row>
    <row r="15416" spans="2:2" x14ac:dyDescent="0.25">
      <c r="B15416" s="1"/>
    </row>
    <row r="15417" spans="2:2" x14ac:dyDescent="0.25">
      <c r="B15417" s="1"/>
    </row>
    <row r="15418" spans="2:2" x14ac:dyDescent="0.25">
      <c r="B15418" s="1"/>
    </row>
    <row r="15419" spans="2:2" x14ac:dyDescent="0.25">
      <c r="B15419" s="1"/>
    </row>
    <row r="15420" spans="2:2" x14ac:dyDescent="0.25">
      <c r="B15420" s="1"/>
    </row>
    <row r="15421" spans="2:2" x14ac:dyDescent="0.25">
      <c r="B15421" s="1"/>
    </row>
    <row r="15422" spans="2:2" x14ac:dyDescent="0.25">
      <c r="B15422" s="1"/>
    </row>
    <row r="15423" spans="2:2" x14ac:dyDescent="0.25">
      <c r="B15423" s="1"/>
    </row>
    <row r="15424" spans="2:2" x14ac:dyDescent="0.25">
      <c r="B15424" s="1"/>
    </row>
    <row r="15425" spans="2:2" x14ac:dyDescent="0.25">
      <c r="B15425" s="1"/>
    </row>
    <row r="15426" spans="2:2" x14ac:dyDescent="0.25">
      <c r="B15426" s="1"/>
    </row>
    <row r="15427" spans="2:2" x14ac:dyDescent="0.25">
      <c r="B15427" s="1"/>
    </row>
    <row r="15428" spans="2:2" x14ac:dyDescent="0.25">
      <c r="B15428" s="1"/>
    </row>
    <row r="15429" spans="2:2" x14ac:dyDescent="0.25">
      <c r="B15429" s="1"/>
    </row>
    <row r="15430" spans="2:2" x14ac:dyDescent="0.25">
      <c r="B15430" s="1"/>
    </row>
    <row r="15431" spans="2:2" x14ac:dyDescent="0.25">
      <c r="B15431" s="1"/>
    </row>
    <row r="15432" spans="2:2" x14ac:dyDescent="0.25">
      <c r="B15432" s="1"/>
    </row>
    <row r="15433" spans="2:2" x14ac:dyDescent="0.25">
      <c r="B15433" s="1"/>
    </row>
    <row r="15434" spans="2:2" x14ac:dyDescent="0.25">
      <c r="B15434" s="1"/>
    </row>
    <row r="15435" spans="2:2" x14ac:dyDescent="0.25">
      <c r="B15435" s="1"/>
    </row>
    <row r="15436" spans="2:2" x14ac:dyDescent="0.25">
      <c r="B15436" s="1"/>
    </row>
    <row r="15437" spans="2:2" x14ac:dyDescent="0.25">
      <c r="B15437" s="1"/>
    </row>
    <row r="15438" spans="2:2" x14ac:dyDescent="0.25">
      <c r="B15438" s="1"/>
    </row>
    <row r="15439" spans="2:2" x14ac:dyDescent="0.25">
      <c r="B15439" s="1"/>
    </row>
    <row r="15440" spans="2:2" x14ac:dyDescent="0.25">
      <c r="B15440" s="1"/>
    </row>
    <row r="15441" spans="2:2" x14ac:dyDescent="0.25">
      <c r="B15441" s="1"/>
    </row>
    <row r="15442" spans="2:2" x14ac:dyDescent="0.25">
      <c r="B15442" s="1"/>
    </row>
    <row r="15443" spans="2:2" x14ac:dyDescent="0.25">
      <c r="B15443" s="1"/>
    </row>
    <row r="15444" spans="2:2" x14ac:dyDescent="0.25">
      <c r="B15444" s="1"/>
    </row>
    <row r="15445" spans="2:2" x14ac:dyDescent="0.25">
      <c r="B15445" s="1"/>
    </row>
    <row r="15446" spans="2:2" x14ac:dyDescent="0.25">
      <c r="B15446" s="1"/>
    </row>
    <row r="15447" spans="2:2" x14ac:dyDescent="0.25">
      <c r="B15447" s="1"/>
    </row>
    <row r="15448" spans="2:2" x14ac:dyDescent="0.25">
      <c r="B15448" s="1"/>
    </row>
    <row r="15449" spans="2:2" x14ac:dyDescent="0.25">
      <c r="B15449" s="1"/>
    </row>
    <row r="15450" spans="2:2" x14ac:dyDescent="0.25">
      <c r="B15450" s="1"/>
    </row>
    <row r="15451" spans="2:2" x14ac:dyDescent="0.25">
      <c r="B15451" s="1"/>
    </row>
    <row r="15452" spans="2:2" x14ac:dyDescent="0.25">
      <c r="B15452" s="1"/>
    </row>
    <row r="15453" spans="2:2" x14ac:dyDescent="0.25">
      <c r="B15453" s="1"/>
    </row>
    <row r="15454" spans="2:2" x14ac:dyDescent="0.25">
      <c r="B15454" s="1"/>
    </row>
    <row r="15455" spans="2:2" x14ac:dyDescent="0.25">
      <c r="B15455" s="1"/>
    </row>
    <row r="15456" spans="2:2" x14ac:dyDescent="0.25">
      <c r="B15456" s="1"/>
    </row>
    <row r="15457" spans="2:2" x14ac:dyDescent="0.25">
      <c r="B15457" s="1"/>
    </row>
    <row r="15458" spans="2:2" x14ac:dyDescent="0.25">
      <c r="B15458" s="1"/>
    </row>
    <row r="15459" spans="2:2" x14ac:dyDescent="0.25">
      <c r="B15459" s="1"/>
    </row>
    <row r="15460" spans="2:2" x14ac:dyDescent="0.25">
      <c r="B15460" s="1"/>
    </row>
    <row r="15461" spans="2:2" x14ac:dyDescent="0.25">
      <c r="B15461" s="1"/>
    </row>
    <row r="15462" spans="2:2" x14ac:dyDescent="0.25">
      <c r="B15462" s="1"/>
    </row>
    <row r="15463" spans="2:2" x14ac:dyDescent="0.25">
      <c r="B15463" s="1"/>
    </row>
    <row r="15464" spans="2:2" x14ac:dyDescent="0.25">
      <c r="B15464" s="1"/>
    </row>
    <row r="15465" spans="2:2" x14ac:dyDescent="0.25">
      <c r="B15465" s="1"/>
    </row>
    <row r="15466" spans="2:2" x14ac:dyDescent="0.25">
      <c r="B15466" s="1"/>
    </row>
    <row r="15467" spans="2:2" x14ac:dyDescent="0.25">
      <c r="B15467" s="1"/>
    </row>
    <row r="15468" spans="2:2" x14ac:dyDescent="0.25">
      <c r="B15468" s="1"/>
    </row>
    <row r="15469" spans="2:2" x14ac:dyDescent="0.25">
      <c r="B15469" s="1"/>
    </row>
    <row r="15470" spans="2:2" x14ac:dyDescent="0.25">
      <c r="B15470" s="1"/>
    </row>
    <row r="15471" spans="2:2" x14ac:dyDescent="0.25">
      <c r="B15471" s="1"/>
    </row>
    <row r="15472" spans="2:2" x14ac:dyDescent="0.25">
      <c r="B15472" s="1"/>
    </row>
    <row r="15473" spans="2:2" x14ac:dyDescent="0.25">
      <c r="B15473" s="1"/>
    </row>
    <row r="15474" spans="2:2" x14ac:dyDescent="0.25">
      <c r="B15474" s="1"/>
    </row>
    <row r="15475" spans="2:2" x14ac:dyDescent="0.25">
      <c r="B15475" s="1"/>
    </row>
    <row r="15476" spans="2:2" x14ac:dyDescent="0.25">
      <c r="B15476" s="1"/>
    </row>
    <row r="15477" spans="2:2" x14ac:dyDescent="0.25">
      <c r="B15477" s="1"/>
    </row>
    <row r="15478" spans="2:2" x14ac:dyDescent="0.25">
      <c r="B15478" s="1"/>
    </row>
    <row r="15479" spans="2:2" x14ac:dyDescent="0.25">
      <c r="B15479" s="1"/>
    </row>
    <row r="15480" spans="2:2" x14ac:dyDescent="0.25">
      <c r="B15480" s="1"/>
    </row>
    <row r="15481" spans="2:2" x14ac:dyDescent="0.25">
      <c r="B15481" s="1"/>
    </row>
    <row r="15482" spans="2:2" x14ac:dyDescent="0.25">
      <c r="B15482" s="1"/>
    </row>
    <row r="15483" spans="2:2" x14ac:dyDescent="0.25">
      <c r="B15483" s="1"/>
    </row>
    <row r="15484" spans="2:2" x14ac:dyDescent="0.25">
      <c r="B15484" s="1"/>
    </row>
    <row r="15485" spans="2:2" x14ac:dyDescent="0.25">
      <c r="B15485" s="1"/>
    </row>
    <row r="15486" spans="2:2" x14ac:dyDescent="0.25">
      <c r="B15486" s="1"/>
    </row>
    <row r="15487" spans="2:2" x14ac:dyDescent="0.25">
      <c r="B15487" s="1"/>
    </row>
    <row r="15488" spans="2:2" x14ac:dyDescent="0.25">
      <c r="B15488" s="1"/>
    </row>
    <row r="15489" spans="2:2" x14ac:dyDescent="0.25">
      <c r="B15489" s="1"/>
    </row>
    <row r="15490" spans="2:2" x14ac:dyDescent="0.25">
      <c r="B15490" s="1"/>
    </row>
    <row r="15491" spans="2:2" x14ac:dyDescent="0.25">
      <c r="B15491" s="1"/>
    </row>
    <row r="15492" spans="2:2" x14ac:dyDescent="0.25">
      <c r="B15492" s="1"/>
    </row>
    <row r="15493" spans="2:2" x14ac:dyDescent="0.25">
      <c r="B15493" s="1"/>
    </row>
    <row r="15494" spans="2:2" x14ac:dyDescent="0.25">
      <c r="B15494" s="1"/>
    </row>
    <row r="15495" spans="2:2" x14ac:dyDescent="0.25">
      <c r="B15495" s="1"/>
    </row>
    <row r="15496" spans="2:2" x14ac:dyDescent="0.25">
      <c r="B15496" s="1"/>
    </row>
    <row r="15497" spans="2:2" x14ac:dyDescent="0.25">
      <c r="B15497" s="1"/>
    </row>
    <row r="15498" spans="2:2" x14ac:dyDescent="0.25">
      <c r="B15498" s="1"/>
    </row>
    <row r="15499" spans="2:2" x14ac:dyDescent="0.25">
      <c r="B15499" s="1"/>
    </row>
    <row r="15500" spans="2:2" x14ac:dyDescent="0.25">
      <c r="B15500" s="1"/>
    </row>
    <row r="15501" spans="2:2" x14ac:dyDescent="0.25">
      <c r="B15501" s="1"/>
    </row>
    <row r="15502" spans="2:2" x14ac:dyDescent="0.25">
      <c r="B15502" s="1"/>
    </row>
    <row r="15503" spans="2:2" x14ac:dyDescent="0.25">
      <c r="B15503" s="1"/>
    </row>
    <row r="15504" spans="2:2" x14ac:dyDescent="0.25">
      <c r="B15504" s="1"/>
    </row>
    <row r="15505" spans="2:2" x14ac:dyDescent="0.25">
      <c r="B15505" s="1"/>
    </row>
    <row r="15506" spans="2:2" x14ac:dyDescent="0.25">
      <c r="B15506" s="1"/>
    </row>
    <row r="15507" spans="2:2" x14ac:dyDescent="0.25">
      <c r="B15507" s="1"/>
    </row>
    <row r="15508" spans="2:2" x14ac:dyDescent="0.25">
      <c r="B15508" s="1"/>
    </row>
    <row r="15509" spans="2:2" x14ac:dyDescent="0.25">
      <c r="B15509" s="1"/>
    </row>
    <row r="15510" spans="2:2" x14ac:dyDescent="0.25">
      <c r="B15510" s="1"/>
    </row>
    <row r="15511" spans="2:2" x14ac:dyDescent="0.25">
      <c r="B15511" s="1"/>
    </row>
    <row r="15512" spans="2:2" x14ac:dyDescent="0.25">
      <c r="B15512" s="1"/>
    </row>
    <row r="15513" spans="2:2" x14ac:dyDescent="0.25">
      <c r="B15513" s="1"/>
    </row>
    <row r="15514" spans="2:2" x14ac:dyDescent="0.25">
      <c r="B15514" s="1"/>
    </row>
    <row r="15515" spans="2:2" x14ac:dyDescent="0.25">
      <c r="B15515" s="1"/>
    </row>
    <row r="15516" spans="2:2" x14ac:dyDescent="0.25">
      <c r="B15516" s="1"/>
    </row>
    <row r="15517" spans="2:2" x14ac:dyDescent="0.25">
      <c r="B15517" s="1"/>
    </row>
    <row r="15518" spans="2:2" x14ac:dyDescent="0.25">
      <c r="B15518" s="1"/>
    </row>
    <row r="15519" spans="2:2" x14ac:dyDescent="0.25">
      <c r="B15519" s="1"/>
    </row>
    <row r="15520" spans="2:2" x14ac:dyDescent="0.25">
      <c r="B15520" s="1"/>
    </row>
    <row r="15521" spans="2:2" x14ac:dyDescent="0.25">
      <c r="B15521" s="1"/>
    </row>
    <row r="15522" spans="2:2" x14ac:dyDescent="0.25">
      <c r="B15522" s="1"/>
    </row>
    <row r="15523" spans="2:2" x14ac:dyDescent="0.25">
      <c r="B15523" s="1"/>
    </row>
    <row r="15524" spans="2:2" x14ac:dyDescent="0.25">
      <c r="B15524" s="1"/>
    </row>
    <row r="15525" spans="2:2" x14ac:dyDescent="0.25">
      <c r="B15525" s="1"/>
    </row>
    <row r="15526" spans="2:2" x14ac:dyDescent="0.25">
      <c r="B15526" s="1"/>
    </row>
    <row r="15527" spans="2:2" x14ac:dyDescent="0.25">
      <c r="B15527" s="1"/>
    </row>
    <row r="15528" spans="2:2" x14ac:dyDescent="0.25">
      <c r="B15528" s="1"/>
    </row>
    <row r="15529" spans="2:2" x14ac:dyDescent="0.25">
      <c r="B15529" s="1"/>
    </row>
    <row r="15530" spans="2:2" x14ac:dyDescent="0.25">
      <c r="B15530" s="1"/>
    </row>
    <row r="15531" spans="2:2" x14ac:dyDescent="0.25">
      <c r="B15531" s="1"/>
    </row>
    <row r="15532" spans="2:2" x14ac:dyDescent="0.25">
      <c r="B15532" s="1"/>
    </row>
    <row r="15533" spans="2:2" x14ac:dyDescent="0.25">
      <c r="B15533" s="1"/>
    </row>
    <row r="15534" spans="2:2" x14ac:dyDescent="0.25">
      <c r="B15534" s="1"/>
    </row>
    <row r="15535" spans="2:2" x14ac:dyDescent="0.25">
      <c r="B15535" s="1"/>
    </row>
    <row r="15536" spans="2:2" x14ac:dyDescent="0.25">
      <c r="B15536" s="1"/>
    </row>
    <row r="15537" spans="2:2" x14ac:dyDescent="0.25">
      <c r="B15537" s="1"/>
    </row>
    <row r="15538" spans="2:2" x14ac:dyDescent="0.25">
      <c r="B15538" s="1"/>
    </row>
    <row r="15539" spans="2:2" x14ac:dyDescent="0.25">
      <c r="B15539" s="1"/>
    </row>
    <row r="15540" spans="2:2" x14ac:dyDescent="0.25">
      <c r="B15540" s="1"/>
    </row>
    <row r="15541" spans="2:2" x14ac:dyDescent="0.25">
      <c r="B15541" s="1"/>
    </row>
    <row r="15542" spans="2:2" x14ac:dyDescent="0.25">
      <c r="B15542" s="1"/>
    </row>
    <row r="15543" spans="2:2" x14ac:dyDescent="0.25">
      <c r="B15543" s="1"/>
    </row>
    <row r="15544" spans="2:2" x14ac:dyDescent="0.25">
      <c r="B15544" s="1"/>
    </row>
    <row r="15545" spans="2:2" x14ac:dyDescent="0.25">
      <c r="B15545" s="1"/>
    </row>
    <row r="15546" spans="2:2" x14ac:dyDescent="0.25">
      <c r="B15546" s="1"/>
    </row>
    <row r="15547" spans="2:2" x14ac:dyDescent="0.25">
      <c r="B15547" s="1"/>
    </row>
    <row r="15548" spans="2:2" x14ac:dyDescent="0.25">
      <c r="B15548" s="1"/>
    </row>
    <row r="15549" spans="2:2" x14ac:dyDescent="0.25">
      <c r="B15549" s="1"/>
    </row>
    <row r="15550" spans="2:2" x14ac:dyDescent="0.25">
      <c r="B15550" s="1"/>
    </row>
    <row r="15551" spans="2:2" x14ac:dyDescent="0.25">
      <c r="B15551" s="1"/>
    </row>
    <row r="15552" spans="2:2" x14ac:dyDescent="0.25">
      <c r="B15552" s="1"/>
    </row>
    <row r="15553" spans="2:2" x14ac:dyDescent="0.25">
      <c r="B15553" s="1"/>
    </row>
    <row r="15554" spans="2:2" x14ac:dyDescent="0.25">
      <c r="B15554" s="1"/>
    </row>
    <row r="15555" spans="2:2" x14ac:dyDescent="0.25">
      <c r="B15555" s="1"/>
    </row>
    <row r="15556" spans="2:2" x14ac:dyDescent="0.25">
      <c r="B15556" s="1"/>
    </row>
    <row r="15557" spans="2:2" x14ac:dyDescent="0.25">
      <c r="B15557" s="1"/>
    </row>
    <row r="15558" spans="2:2" x14ac:dyDescent="0.25">
      <c r="B15558" s="1"/>
    </row>
    <row r="15559" spans="2:2" x14ac:dyDescent="0.25">
      <c r="B15559" s="1"/>
    </row>
    <row r="15560" spans="2:2" x14ac:dyDescent="0.25">
      <c r="B15560" s="1"/>
    </row>
    <row r="15561" spans="2:2" x14ac:dyDescent="0.25">
      <c r="B15561" s="1"/>
    </row>
    <row r="15562" spans="2:2" x14ac:dyDescent="0.25">
      <c r="B15562" s="1"/>
    </row>
    <row r="15563" spans="2:2" x14ac:dyDescent="0.25">
      <c r="B15563" s="1"/>
    </row>
    <row r="15564" spans="2:2" x14ac:dyDescent="0.25">
      <c r="B15564" s="1"/>
    </row>
    <row r="15565" spans="2:2" x14ac:dyDescent="0.25">
      <c r="B15565" s="1"/>
    </row>
    <row r="15566" spans="2:2" x14ac:dyDescent="0.25">
      <c r="B15566" s="1"/>
    </row>
    <row r="15567" spans="2:2" x14ac:dyDescent="0.25">
      <c r="B15567" s="1"/>
    </row>
    <row r="15568" spans="2:2" x14ac:dyDescent="0.25">
      <c r="B15568" s="1"/>
    </row>
    <row r="15569" spans="2:2" x14ac:dyDescent="0.25">
      <c r="B15569" s="1"/>
    </row>
    <row r="15570" spans="2:2" x14ac:dyDescent="0.25">
      <c r="B15570" s="1"/>
    </row>
    <row r="15571" spans="2:2" x14ac:dyDescent="0.25">
      <c r="B15571" s="1"/>
    </row>
    <row r="15572" spans="2:2" x14ac:dyDescent="0.25">
      <c r="B15572" s="1"/>
    </row>
    <row r="15573" spans="2:2" x14ac:dyDescent="0.25">
      <c r="B15573" s="1"/>
    </row>
    <row r="15574" spans="2:2" x14ac:dyDescent="0.25">
      <c r="B15574" s="1"/>
    </row>
    <row r="15575" spans="2:2" x14ac:dyDescent="0.25">
      <c r="B15575" s="1"/>
    </row>
    <row r="15576" spans="2:2" x14ac:dyDescent="0.25">
      <c r="B15576" s="1"/>
    </row>
    <row r="15577" spans="2:2" x14ac:dyDescent="0.25">
      <c r="B15577" s="1"/>
    </row>
    <row r="15578" spans="2:2" x14ac:dyDescent="0.25">
      <c r="B15578" s="1"/>
    </row>
    <row r="15579" spans="2:2" x14ac:dyDescent="0.25">
      <c r="B15579" s="1"/>
    </row>
    <row r="15580" spans="2:2" x14ac:dyDescent="0.25">
      <c r="B15580" s="1"/>
    </row>
    <row r="15581" spans="2:2" x14ac:dyDescent="0.25">
      <c r="B15581" s="1"/>
    </row>
    <row r="15582" spans="2:2" x14ac:dyDescent="0.25">
      <c r="B15582" s="1"/>
    </row>
    <row r="15583" spans="2:2" x14ac:dyDescent="0.25">
      <c r="B15583" s="1"/>
    </row>
    <row r="15584" spans="2:2" x14ac:dyDescent="0.25">
      <c r="B15584" s="1"/>
    </row>
    <row r="15585" spans="2:2" x14ac:dyDescent="0.25">
      <c r="B15585" s="1"/>
    </row>
    <row r="15586" spans="2:2" x14ac:dyDescent="0.25">
      <c r="B15586" s="1"/>
    </row>
    <row r="15587" spans="2:2" x14ac:dyDescent="0.25">
      <c r="B15587" s="1"/>
    </row>
    <row r="15588" spans="2:2" x14ac:dyDescent="0.25">
      <c r="B15588" s="1"/>
    </row>
    <row r="15589" spans="2:2" x14ac:dyDescent="0.25">
      <c r="B15589" s="1"/>
    </row>
    <row r="15590" spans="2:2" x14ac:dyDescent="0.25">
      <c r="B15590" s="1"/>
    </row>
    <row r="15591" spans="2:2" x14ac:dyDescent="0.25">
      <c r="B15591" s="1"/>
    </row>
    <row r="15592" spans="2:2" x14ac:dyDescent="0.25">
      <c r="B15592" s="1"/>
    </row>
    <row r="15593" spans="2:2" x14ac:dyDescent="0.25">
      <c r="B15593" s="1"/>
    </row>
    <row r="15594" spans="2:2" x14ac:dyDescent="0.25">
      <c r="B15594" s="1"/>
    </row>
    <row r="15595" spans="2:2" x14ac:dyDescent="0.25">
      <c r="B15595" s="1"/>
    </row>
    <row r="15596" spans="2:2" x14ac:dyDescent="0.25">
      <c r="B15596" s="1"/>
    </row>
    <row r="15597" spans="2:2" x14ac:dyDescent="0.25">
      <c r="B15597" s="1"/>
    </row>
    <row r="15598" spans="2:2" x14ac:dyDescent="0.25">
      <c r="B15598" s="1"/>
    </row>
    <row r="15599" spans="2:2" x14ac:dyDescent="0.25">
      <c r="B15599" s="1"/>
    </row>
    <row r="15600" spans="2:2" x14ac:dyDescent="0.25">
      <c r="B15600" s="1"/>
    </row>
    <row r="15601" spans="2:2" x14ac:dyDescent="0.25">
      <c r="B15601" s="1"/>
    </row>
    <row r="15602" spans="2:2" x14ac:dyDescent="0.25">
      <c r="B15602" s="1"/>
    </row>
    <row r="15603" spans="2:2" x14ac:dyDescent="0.25">
      <c r="B15603" s="1"/>
    </row>
    <row r="15604" spans="2:2" x14ac:dyDescent="0.25">
      <c r="B15604" s="1"/>
    </row>
    <row r="15605" spans="2:2" x14ac:dyDescent="0.25">
      <c r="B15605" s="1"/>
    </row>
    <row r="15606" spans="2:2" x14ac:dyDescent="0.25">
      <c r="B15606" s="1"/>
    </row>
    <row r="15607" spans="2:2" x14ac:dyDescent="0.25">
      <c r="B15607" s="1"/>
    </row>
    <row r="15608" spans="2:2" x14ac:dyDescent="0.25">
      <c r="B15608" s="1"/>
    </row>
    <row r="15609" spans="2:2" x14ac:dyDescent="0.25">
      <c r="B15609" s="1"/>
    </row>
    <row r="15610" spans="2:2" x14ac:dyDescent="0.25">
      <c r="B15610" s="1"/>
    </row>
    <row r="15611" spans="2:2" x14ac:dyDescent="0.25">
      <c r="B15611" s="1"/>
    </row>
    <row r="15612" spans="2:2" x14ac:dyDescent="0.25">
      <c r="B15612" s="1"/>
    </row>
    <row r="15613" spans="2:2" x14ac:dyDescent="0.25">
      <c r="B15613" s="1"/>
    </row>
    <row r="15614" spans="2:2" x14ac:dyDescent="0.25">
      <c r="B15614" s="1"/>
    </row>
    <row r="15615" spans="2:2" x14ac:dyDescent="0.25">
      <c r="B15615" s="1"/>
    </row>
    <row r="15616" spans="2:2" x14ac:dyDescent="0.25">
      <c r="B15616" s="1"/>
    </row>
    <row r="15617" spans="2:2" x14ac:dyDescent="0.25">
      <c r="B15617" s="1"/>
    </row>
    <row r="15618" spans="2:2" x14ac:dyDescent="0.25">
      <c r="B15618" s="1"/>
    </row>
    <row r="15619" spans="2:2" x14ac:dyDescent="0.25">
      <c r="B15619" s="1"/>
    </row>
    <row r="15620" spans="2:2" x14ac:dyDescent="0.25">
      <c r="B15620" s="1"/>
    </row>
    <row r="15621" spans="2:2" x14ac:dyDescent="0.25">
      <c r="B15621" s="1"/>
    </row>
    <row r="15622" spans="2:2" x14ac:dyDescent="0.25">
      <c r="B15622" s="1"/>
    </row>
    <row r="15623" spans="2:2" x14ac:dyDescent="0.25">
      <c r="B15623" s="1"/>
    </row>
    <row r="15624" spans="2:2" x14ac:dyDescent="0.25">
      <c r="B15624" s="1"/>
    </row>
    <row r="15625" spans="2:2" x14ac:dyDescent="0.25">
      <c r="B15625" s="1"/>
    </row>
    <row r="15626" spans="2:2" x14ac:dyDescent="0.25">
      <c r="B15626" s="1"/>
    </row>
    <row r="15627" spans="2:2" x14ac:dyDescent="0.25">
      <c r="B15627" s="1"/>
    </row>
    <row r="15628" spans="2:2" x14ac:dyDescent="0.25">
      <c r="B15628" s="1"/>
    </row>
    <row r="15629" spans="2:2" x14ac:dyDescent="0.25">
      <c r="B15629" s="1"/>
    </row>
    <row r="15630" spans="2:2" x14ac:dyDescent="0.25">
      <c r="B15630" s="1"/>
    </row>
    <row r="15631" spans="2:2" x14ac:dyDescent="0.25">
      <c r="B15631" s="1"/>
    </row>
    <row r="15632" spans="2:2" x14ac:dyDescent="0.25">
      <c r="B15632" s="1"/>
    </row>
    <row r="15633" spans="2:2" x14ac:dyDescent="0.25">
      <c r="B15633" s="1"/>
    </row>
    <row r="15634" spans="2:2" x14ac:dyDescent="0.25">
      <c r="B15634" s="1"/>
    </row>
    <row r="15635" spans="2:2" x14ac:dyDescent="0.25">
      <c r="B15635" s="1"/>
    </row>
    <row r="15636" spans="2:2" x14ac:dyDescent="0.25">
      <c r="B15636" s="1"/>
    </row>
    <row r="15637" spans="2:2" x14ac:dyDescent="0.25">
      <c r="B15637" s="1"/>
    </row>
    <row r="15638" spans="2:2" x14ac:dyDescent="0.25">
      <c r="B15638" s="1"/>
    </row>
    <row r="15639" spans="2:2" x14ac:dyDescent="0.25">
      <c r="B15639" s="1"/>
    </row>
    <row r="15640" spans="2:2" x14ac:dyDescent="0.25">
      <c r="B15640" s="1"/>
    </row>
    <row r="15641" spans="2:2" x14ac:dyDescent="0.25">
      <c r="B15641" s="1"/>
    </row>
    <row r="15642" spans="2:2" x14ac:dyDescent="0.25">
      <c r="B15642" s="1"/>
    </row>
    <row r="15643" spans="2:2" x14ac:dyDescent="0.25">
      <c r="B15643" s="1"/>
    </row>
    <row r="15644" spans="2:2" x14ac:dyDescent="0.25">
      <c r="B15644" s="1"/>
    </row>
    <row r="15645" spans="2:2" x14ac:dyDescent="0.25">
      <c r="B15645" s="1"/>
    </row>
    <row r="15646" spans="2:2" x14ac:dyDescent="0.25">
      <c r="B15646" s="1"/>
    </row>
    <row r="15647" spans="2:2" x14ac:dyDescent="0.25">
      <c r="B15647" s="1"/>
    </row>
    <row r="15648" spans="2:2" x14ac:dyDescent="0.25">
      <c r="B15648" s="1"/>
    </row>
    <row r="15649" spans="2:2" x14ac:dyDescent="0.25">
      <c r="B15649" s="1"/>
    </row>
    <row r="15650" spans="2:2" x14ac:dyDescent="0.25">
      <c r="B15650" s="1"/>
    </row>
    <row r="15651" spans="2:2" x14ac:dyDescent="0.25">
      <c r="B15651" s="1"/>
    </row>
    <row r="15652" spans="2:2" x14ac:dyDescent="0.25">
      <c r="B15652" s="1"/>
    </row>
    <row r="15653" spans="2:2" x14ac:dyDescent="0.25">
      <c r="B15653" s="1"/>
    </row>
    <row r="15654" spans="2:2" x14ac:dyDescent="0.25">
      <c r="B15654" s="1"/>
    </row>
    <row r="15655" spans="2:2" x14ac:dyDescent="0.25">
      <c r="B15655" s="1"/>
    </row>
    <row r="15656" spans="2:2" x14ac:dyDescent="0.25">
      <c r="B15656" s="1"/>
    </row>
    <row r="15657" spans="2:2" x14ac:dyDescent="0.25">
      <c r="B15657" s="1"/>
    </row>
    <row r="15658" spans="2:2" x14ac:dyDescent="0.25">
      <c r="B15658" s="1"/>
    </row>
    <row r="15659" spans="2:2" x14ac:dyDescent="0.25">
      <c r="B15659" s="1"/>
    </row>
    <row r="15660" spans="2:2" x14ac:dyDescent="0.25">
      <c r="B15660" s="1"/>
    </row>
    <row r="15661" spans="2:2" x14ac:dyDescent="0.25">
      <c r="B15661" s="1"/>
    </row>
    <row r="15662" spans="2:2" x14ac:dyDescent="0.25">
      <c r="B15662" s="1"/>
    </row>
    <row r="15663" spans="2:2" x14ac:dyDescent="0.25">
      <c r="B15663" s="1"/>
    </row>
    <row r="15664" spans="2:2" x14ac:dyDescent="0.25">
      <c r="B15664" s="1"/>
    </row>
    <row r="15665" spans="2:2" x14ac:dyDescent="0.25">
      <c r="B15665" s="1"/>
    </row>
    <row r="15666" spans="2:2" x14ac:dyDescent="0.25">
      <c r="B15666" s="1"/>
    </row>
    <row r="15667" spans="2:2" x14ac:dyDescent="0.25">
      <c r="B15667" s="1"/>
    </row>
    <row r="15668" spans="2:2" x14ac:dyDescent="0.25">
      <c r="B15668" s="1"/>
    </row>
    <row r="15669" spans="2:2" x14ac:dyDescent="0.25">
      <c r="B15669" s="1"/>
    </row>
    <row r="15670" spans="2:2" x14ac:dyDescent="0.25">
      <c r="B15670" s="1"/>
    </row>
    <row r="15671" spans="2:2" x14ac:dyDescent="0.25">
      <c r="B15671" s="1"/>
    </row>
    <row r="15672" spans="2:2" x14ac:dyDescent="0.25">
      <c r="B15672" s="1"/>
    </row>
    <row r="15673" spans="2:2" x14ac:dyDescent="0.25">
      <c r="B15673" s="1"/>
    </row>
    <row r="15674" spans="2:2" x14ac:dyDescent="0.25">
      <c r="B15674" s="1"/>
    </row>
    <row r="15675" spans="2:2" x14ac:dyDescent="0.25">
      <c r="B15675" s="1"/>
    </row>
    <row r="15676" spans="2:2" x14ac:dyDescent="0.25">
      <c r="B15676" s="1"/>
    </row>
    <row r="15677" spans="2:2" x14ac:dyDescent="0.25">
      <c r="B15677" s="1"/>
    </row>
    <row r="15678" spans="2:2" x14ac:dyDescent="0.25">
      <c r="B15678" s="1"/>
    </row>
    <row r="15679" spans="2:2" x14ac:dyDescent="0.25">
      <c r="B15679" s="1"/>
    </row>
    <row r="15680" spans="2:2" x14ac:dyDescent="0.25">
      <c r="B15680" s="1"/>
    </row>
    <row r="15681" spans="2:2" x14ac:dyDescent="0.25">
      <c r="B15681" s="1"/>
    </row>
    <row r="15682" spans="2:2" x14ac:dyDescent="0.25">
      <c r="B15682" s="1"/>
    </row>
    <row r="15683" spans="2:2" x14ac:dyDescent="0.25">
      <c r="B15683" s="1"/>
    </row>
    <row r="15684" spans="2:2" x14ac:dyDescent="0.25">
      <c r="B15684" s="1"/>
    </row>
    <row r="15685" spans="2:2" x14ac:dyDescent="0.25">
      <c r="B15685" s="1"/>
    </row>
    <row r="15686" spans="2:2" x14ac:dyDescent="0.25">
      <c r="B15686" s="1"/>
    </row>
    <row r="15687" spans="2:2" x14ac:dyDescent="0.25">
      <c r="B15687" s="1"/>
    </row>
    <row r="15688" spans="2:2" x14ac:dyDescent="0.25">
      <c r="B15688" s="1"/>
    </row>
    <row r="15689" spans="2:2" x14ac:dyDescent="0.25">
      <c r="B15689" s="1"/>
    </row>
    <row r="15690" spans="2:2" x14ac:dyDescent="0.25">
      <c r="B15690" s="1"/>
    </row>
    <row r="15691" spans="2:2" x14ac:dyDescent="0.25">
      <c r="B15691" s="1"/>
    </row>
    <row r="15692" spans="2:2" x14ac:dyDescent="0.25">
      <c r="B15692" s="1"/>
    </row>
    <row r="15693" spans="2:2" x14ac:dyDescent="0.25">
      <c r="B15693" s="1"/>
    </row>
    <row r="15694" spans="2:2" x14ac:dyDescent="0.25">
      <c r="B15694" s="1"/>
    </row>
    <row r="15695" spans="2:2" x14ac:dyDescent="0.25">
      <c r="B15695" s="1"/>
    </row>
    <row r="15696" spans="2:2" x14ac:dyDescent="0.25">
      <c r="B15696" s="1"/>
    </row>
    <row r="15697" spans="2:2" x14ac:dyDescent="0.25">
      <c r="B15697" s="1"/>
    </row>
    <row r="15698" spans="2:2" x14ac:dyDescent="0.25">
      <c r="B15698" s="1"/>
    </row>
    <row r="15699" spans="2:2" x14ac:dyDescent="0.25">
      <c r="B15699" s="1"/>
    </row>
    <row r="15700" spans="2:2" x14ac:dyDescent="0.25">
      <c r="B15700" s="1"/>
    </row>
    <row r="15701" spans="2:2" x14ac:dyDescent="0.25">
      <c r="B15701" s="1"/>
    </row>
    <row r="15702" spans="2:2" x14ac:dyDescent="0.25">
      <c r="B15702" s="1"/>
    </row>
    <row r="15703" spans="2:2" x14ac:dyDescent="0.25">
      <c r="B15703" s="1"/>
    </row>
    <row r="15704" spans="2:2" x14ac:dyDescent="0.25">
      <c r="B15704" s="1"/>
    </row>
    <row r="15705" spans="2:2" x14ac:dyDescent="0.25">
      <c r="B15705" s="1"/>
    </row>
    <row r="15706" spans="2:2" x14ac:dyDescent="0.25">
      <c r="B15706" s="1"/>
    </row>
    <row r="15707" spans="2:2" x14ac:dyDescent="0.25">
      <c r="B15707" s="1"/>
    </row>
    <row r="15708" spans="2:2" x14ac:dyDescent="0.25">
      <c r="B15708" s="1"/>
    </row>
    <row r="15709" spans="2:2" x14ac:dyDescent="0.25">
      <c r="B15709" s="1"/>
    </row>
    <row r="15710" spans="2:2" x14ac:dyDescent="0.25">
      <c r="B15710" s="1"/>
    </row>
    <row r="15711" spans="2:2" x14ac:dyDescent="0.25">
      <c r="B15711" s="1"/>
    </row>
    <row r="15712" spans="2:2" x14ac:dyDescent="0.25">
      <c r="B15712" s="1"/>
    </row>
    <row r="15713" spans="2:2" x14ac:dyDescent="0.25">
      <c r="B15713" s="1"/>
    </row>
    <row r="15714" spans="2:2" x14ac:dyDescent="0.25">
      <c r="B15714" s="1"/>
    </row>
    <row r="15715" spans="2:2" x14ac:dyDescent="0.25">
      <c r="B15715" s="1"/>
    </row>
    <row r="15716" spans="2:2" x14ac:dyDescent="0.25">
      <c r="B15716" s="1"/>
    </row>
    <row r="15717" spans="2:2" x14ac:dyDescent="0.25">
      <c r="B15717" s="1"/>
    </row>
    <row r="15718" spans="2:2" x14ac:dyDescent="0.25">
      <c r="B15718" s="1"/>
    </row>
    <row r="15719" spans="2:2" x14ac:dyDescent="0.25">
      <c r="B15719" s="1"/>
    </row>
    <row r="15720" spans="2:2" x14ac:dyDescent="0.25">
      <c r="B15720" s="1"/>
    </row>
    <row r="15721" spans="2:2" x14ac:dyDescent="0.25">
      <c r="B15721" s="1"/>
    </row>
    <row r="15722" spans="2:2" x14ac:dyDescent="0.25">
      <c r="B15722" s="1"/>
    </row>
    <row r="15723" spans="2:2" x14ac:dyDescent="0.25">
      <c r="B15723" s="1"/>
    </row>
    <row r="15724" spans="2:2" x14ac:dyDescent="0.25">
      <c r="B15724" s="1"/>
    </row>
    <row r="15725" spans="2:2" x14ac:dyDescent="0.25">
      <c r="B15725" s="1"/>
    </row>
    <row r="15726" spans="2:2" x14ac:dyDescent="0.25">
      <c r="B15726" s="1"/>
    </row>
    <row r="15727" spans="2:2" x14ac:dyDescent="0.25">
      <c r="B15727" s="1"/>
    </row>
    <row r="15728" spans="2:2" x14ac:dyDescent="0.25">
      <c r="B15728" s="1"/>
    </row>
    <row r="15729" spans="2:2" x14ac:dyDescent="0.25">
      <c r="B15729" s="1"/>
    </row>
    <row r="15730" spans="2:2" x14ac:dyDescent="0.25">
      <c r="B15730" s="1"/>
    </row>
    <row r="15731" spans="2:2" x14ac:dyDescent="0.25">
      <c r="B15731" s="1"/>
    </row>
    <row r="15732" spans="2:2" x14ac:dyDescent="0.25">
      <c r="B15732" s="1"/>
    </row>
    <row r="15733" spans="2:2" x14ac:dyDescent="0.25">
      <c r="B15733" s="1"/>
    </row>
    <row r="15734" spans="2:2" x14ac:dyDescent="0.25">
      <c r="B15734" s="1"/>
    </row>
    <row r="15735" spans="2:2" x14ac:dyDescent="0.25">
      <c r="B15735" s="1"/>
    </row>
    <row r="15736" spans="2:2" x14ac:dyDescent="0.25">
      <c r="B15736" s="1"/>
    </row>
    <row r="15737" spans="2:2" x14ac:dyDescent="0.25">
      <c r="B15737" s="1"/>
    </row>
    <row r="15738" spans="2:2" x14ac:dyDescent="0.25">
      <c r="B15738" s="1"/>
    </row>
    <row r="15739" spans="2:2" x14ac:dyDescent="0.25">
      <c r="B15739" s="1"/>
    </row>
    <row r="15740" spans="2:2" x14ac:dyDescent="0.25">
      <c r="B15740" s="1"/>
    </row>
    <row r="15741" spans="2:2" x14ac:dyDescent="0.25">
      <c r="B15741" s="1"/>
    </row>
    <row r="15742" spans="2:2" x14ac:dyDescent="0.25">
      <c r="B15742" s="1"/>
    </row>
    <row r="15743" spans="2:2" x14ac:dyDescent="0.25">
      <c r="B15743" s="1"/>
    </row>
    <row r="15744" spans="2:2" x14ac:dyDescent="0.25">
      <c r="B15744" s="1"/>
    </row>
    <row r="15745" spans="2:2" x14ac:dyDescent="0.25">
      <c r="B15745" s="1"/>
    </row>
    <row r="15746" spans="2:2" x14ac:dyDescent="0.25">
      <c r="B15746" s="1"/>
    </row>
    <row r="15747" spans="2:2" x14ac:dyDescent="0.25">
      <c r="B15747" s="1"/>
    </row>
    <row r="15748" spans="2:2" x14ac:dyDescent="0.25">
      <c r="B15748" s="1"/>
    </row>
    <row r="15749" spans="2:2" x14ac:dyDescent="0.25">
      <c r="B15749" s="1"/>
    </row>
    <row r="15750" spans="2:2" x14ac:dyDescent="0.25">
      <c r="B15750" s="1"/>
    </row>
    <row r="15751" spans="2:2" x14ac:dyDescent="0.25">
      <c r="B15751" s="1"/>
    </row>
    <row r="15752" spans="2:2" x14ac:dyDescent="0.25">
      <c r="B15752" s="1"/>
    </row>
    <row r="15753" spans="2:2" x14ac:dyDescent="0.25">
      <c r="B15753" s="1"/>
    </row>
    <row r="15754" spans="2:2" x14ac:dyDescent="0.25">
      <c r="B15754" s="1"/>
    </row>
    <row r="15755" spans="2:2" x14ac:dyDescent="0.25">
      <c r="B15755" s="1"/>
    </row>
    <row r="15756" spans="2:2" x14ac:dyDescent="0.25">
      <c r="B15756" s="1"/>
    </row>
    <row r="15757" spans="2:2" x14ac:dyDescent="0.25">
      <c r="B15757" s="1"/>
    </row>
    <row r="15758" spans="2:2" x14ac:dyDescent="0.25">
      <c r="B15758" s="1"/>
    </row>
    <row r="15759" spans="2:2" x14ac:dyDescent="0.25">
      <c r="B15759" s="1"/>
    </row>
    <row r="15760" spans="2:2" x14ac:dyDescent="0.25">
      <c r="B15760" s="1"/>
    </row>
    <row r="15761" spans="2:2" x14ac:dyDescent="0.25">
      <c r="B15761" s="1"/>
    </row>
    <row r="15762" spans="2:2" x14ac:dyDescent="0.25">
      <c r="B15762" s="1"/>
    </row>
    <row r="15763" spans="2:2" x14ac:dyDescent="0.25">
      <c r="B15763" s="1"/>
    </row>
    <row r="15764" spans="2:2" x14ac:dyDescent="0.25">
      <c r="B15764" s="1"/>
    </row>
    <row r="15765" spans="2:2" x14ac:dyDescent="0.25">
      <c r="B15765" s="1"/>
    </row>
    <row r="15766" spans="2:2" x14ac:dyDescent="0.25">
      <c r="B15766" s="1"/>
    </row>
    <row r="15767" spans="2:2" x14ac:dyDescent="0.25">
      <c r="B15767" s="1"/>
    </row>
    <row r="15768" spans="2:2" x14ac:dyDescent="0.25">
      <c r="B15768" s="1"/>
    </row>
    <row r="15769" spans="2:2" x14ac:dyDescent="0.25">
      <c r="B15769" s="1"/>
    </row>
    <row r="15770" spans="2:2" x14ac:dyDescent="0.25">
      <c r="B15770" s="1"/>
    </row>
    <row r="15771" spans="2:2" x14ac:dyDescent="0.25">
      <c r="B15771" s="1"/>
    </row>
    <row r="15772" spans="2:2" x14ac:dyDescent="0.25">
      <c r="B15772" s="1"/>
    </row>
    <row r="15773" spans="2:2" x14ac:dyDescent="0.25">
      <c r="B15773" s="1"/>
    </row>
    <row r="15774" spans="2:2" x14ac:dyDescent="0.25">
      <c r="B15774" s="1"/>
    </row>
    <row r="15775" spans="2:2" x14ac:dyDescent="0.25">
      <c r="B15775" s="1"/>
    </row>
    <row r="15776" spans="2:2" x14ac:dyDescent="0.25">
      <c r="B15776" s="1"/>
    </row>
    <row r="15777" spans="2:2" x14ac:dyDescent="0.25">
      <c r="B15777" s="1"/>
    </row>
    <row r="15778" spans="2:2" x14ac:dyDescent="0.25">
      <c r="B15778" s="1"/>
    </row>
    <row r="15779" spans="2:2" x14ac:dyDescent="0.25">
      <c r="B15779" s="1"/>
    </row>
    <row r="15780" spans="2:2" x14ac:dyDescent="0.25">
      <c r="B15780" s="1"/>
    </row>
    <row r="15781" spans="2:2" x14ac:dyDescent="0.25">
      <c r="B15781" s="1"/>
    </row>
    <row r="15782" spans="2:2" x14ac:dyDescent="0.25">
      <c r="B15782" s="1"/>
    </row>
    <row r="15783" spans="2:2" x14ac:dyDescent="0.25">
      <c r="B15783" s="1"/>
    </row>
    <row r="15784" spans="2:2" x14ac:dyDescent="0.25">
      <c r="B15784" s="1"/>
    </row>
    <row r="15785" spans="2:2" x14ac:dyDescent="0.25">
      <c r="B15785" s="1"/>
    </row>
    <row r="15786" spans="2:2" x14ac:dyDescent="0.25">
      <c r="B15786" s="1"/>
    </row>
    <row r="15787" spans="2:2" x14ac:dyDescent="0.25">
      <c r="B15787" s="1"/>
    </row>
    <row r="15788" spans="2:2" x14ac:dyDescent="0.25">
      <c r="B15788" s="1"/>
    </row>
    <row r="15789" spans="2:2" x14ac:dyDescent="0.25">
      <c r="B15789" s="1"/>
    </row>
    <row r="15790" spans="2:2" x14ac:dyDescent="0.25">
      <c r="B15790" s="1"/>
    </row>
    <row r="15791" spans="2:2" x14ac:dyDescent="0.25">
      <c r="B15791" s="1"/>
    </row>
    <row r="15792" spans="2:2" x14ac:dyDescent="0.25">
      <c r="B15792" s="1"/>
    </row>
    <row r="15793" spans="2:2" x14ac:dyDescent="0.25">
      <c r="B15793" s="1"/>
    </row>
    <row r="15794" spans="2:2" x14ac:dyDescent="0.25">
      <c r="B15794" s="1"/>
    </row>
    <row r="15795" spans="2:2" x14ac:dyDescent="0.25">
      <c r="B15795" s="1"/>
    </row>
    <row r="15796" spans="2:2" x14ac:dyDescent="0.25">
      <c r="B15796" s="1"/>
    </row>
    <row r="15797" spans="2:2" x14ac:dyDescent="0.25">
      <c r="B15797" s="1"/>
    </row>
    <row r="15798" spans="2:2" x14ac:dyDescent="0.25">
      <c r="B15798" s="1"/>
    </row>
    <row r="15799" spans="2:2" x14ac:dyDescent="0.25">
      <c r="B15799" s="1"/>
    </row>
    <row r="15800" spans="2:2" x14ac:dyDescent="0.25">
      <c r="B15800" s="1"/>
    </row>
    <row r="15801" spans="2:2" x14ac:dyDescent="0.25">
      <c r="B15801" s="1"/>
    </row>
    <row r="15802" spans="2:2" x14ac:dyDescent="0.25">
      <c r="B15802" s="1"/>
    </row>
    <row r="15803" spans="2:2" x14ac:dyDescent="0.25">
      <c r="B15803" s="1"/>
    </row>
    <row r="15804" spans="2:2" x14ac:dyDescent="0.25">
      <c r="B15804" s="1"/>
    </row>
    <row r="15805" spans="2:2" x14ac:dyDescent="0.25">
      <c r="B15805" s="1"/>
    </row>
    <row r="15806" spans="2:2" x14ac:dyDescent="0.25">
      <c r="B15806" s="1"/>
    </row>
    <row r="15807" spans="2:2" x14ac:dyDescent="0.25">
      <c r="B15807" s="1"/>
    </row>
    <row r="15808" spans="2:2" x14ac:dyDescent="0.25">
      <c r="B15808" s="1"/>
    </row>
    <row r="15809" spans="2:2" x14ac:dyDescent="0.25">
      <c r="B15809" s="1"/>
    </row>
    <row r="15810" spans="2:2" x14ac:dyDescent="0.25">
      <c r="B15810" s="1"/>
    </row>
    <row r="15811" spans="2:2" x14ac:dyDescent="0.25">
      <c r="B15811" s="1"/>
    </row>
    <row r="15812" spans="2:2" x14ac:dyDescent="0.25">
      <c r="B15812" s="1"/>
    </row>
    <row r="15813" spans="2:2" x14ac:dyDescent="0.25">
      <c r="B15813" s="1"/>
    </row>
    <row r="15814" spans="2:2" x14ac:dyDescent="0.25">
      <c r="B15814" s="1"/>
    </row>
    <row r="15815" spans="2:2" x14ac:dyDescent="0.25">
      <c r="B15815" s="1"/>
    </row>
    <row r="15816" spans="2:2" x14ac:dyDescent="0.25">
      <c r="B15816" s="1"/>
    </row>
    <row r="15817" spans="2:2" x14ac:dyDescent="0.25">
      <c r="B15817" s="1"/>
    </row>
    <row r="15818" spans="2:2" x14ac:dyDescent="0.25">
      <c r="B15818" s="1"/>
    </row>
    <row r="15819" spans="2:2" x14ac:dyDescent="0.25">
      <c r="B15819" s="1"/>
    </row>
    <row r="15820" spans="2:2" x14ac:dyDescent="0.25">
      <c r="B15820" s="1"/>
    </row>
    <row r="15821" spans="2:2" x14ac:dyDescent="0.25">
      <c r="B15821" s="1"/>
    </row>
    <row r="15822" spans="2:2" x14ac:dyDescent="0.25">
      <c r="B15822" s="1"/>
    </row>
    <row r="15823" spans="2:2" x14ac:dyDescent="0.25">
      <c r="B15823" s="1"/>
    </row>
    <row r="15824" spans="2:2" x14ac:dyDescent="0.25">
      <c r="B15824" s="1"/>
    </row>
    <row r="15825" spans="2:2" x14ac:dyDescent="0.25">
      <c r="B15825" s="1"/>
    </row>
    <row r="15826" spans="2:2" x14ac:dyDescent="0.25">
      <c r="B15826" s="1"/>
    </row>
    <row r="15827" spans="2:2" x14ac:dyDescent="0.25">
      <c r="B15827" s="1"/>
    </row>
    <row r="15828" spans="2:2" x14ac:dyDescent="0.25">
      <c r="B15828" s="1"/>
    </row>
    <row r="15829" spans="2:2" x14ac:dyDescent="0.25">
      <c r="B15829" s="1"/>
    </row>
    <row r="15830" spans="2:2" x14ac:dyDescent="0.25">
      <c r="B15830" s="1"/>
    </row>
    <row r="15831" spans="2:2" x14ac:dyDescent="0.25">
      <c r="B15831" s="1"/>
    </row>
    <row r="15832" spans="2:2" x14ac:dyDescent="0.25">
      <c r="B15832" s="1"/>
    </row>
    <row r="15833" spans="2:2" x14ac:dyDescent="0.25">
      <c r="B15833" s="1"/>
    </row>
    <row r="15834" spans="2:2" x14ac:dyDescent="0.25">
      <c r="B15834" s="1"/>
    </row>
    <row r="15835" spans="2:2" x14ac:dyDescent="0.25">
      <c r="B15835" s="1"/>
    </row>
    <row r="15836" spans="2:2" x14ac:dyDescent="0.25">
      <c r="B15836" s="1"/>
    </row>
    <row r="15837" spans="2:2" x14ac:dyDescent="0.25">
      <c r="B15837" s="1"/>
    </row>
    <row r="15838" spans="2:2" x14ac:dyDescent="0.25">
      <c r="B15838" s="1"/>
    </row>
    <row r="15839" spans="2:2" x14ac:dyDescent="0.25">
      <c r="B15839" s="1"/>
    </row>
    <row r="15840" spans="2:2" x14ac:dyDescent="0.25">
      <c r="B15840" s="1"/>
    </row>
    <row r="15841" spans="2:2" x14ac:dyDescent="0.25">
      <c r="B15841" s="1"/>
    </row>
    <row r="15842" spans="2:2" x14ac:dyDescent="0.25">
      <c r="B15842" s="1"/>
    </row>
    <row r="15843" spans="2:2" x14ac:dyDescent="0.25">
      <c r="B15843" s="1"/>
    </row>
    <row r="15844" spans="2:2" x14ac:dyDescent="0.25">
      <c r="B15844" s="1"/>
    </row>
    <row r="15845" spans="2:2" x14ac:dyDescent="0.25">
      <c r="B15845" s="1"/>
    </row>
    <row r="15846" spans="2:2" x14ac:dyDescent="0.25">
      <c r="B15846" s="1"/>
    </row>
    <row r="15847" spans="2:2" x14ac:dyDescent="0.25">
      <c r="B15847" s="1"/>
    </row>
    <row r="15848" spans="2:2" x14ac:dyDescent="0.25">
      <c r="B15848" s="1"/>
    </row>
    <row r="15849" spans="2:2" x14ac:dyDescent="0.25">
      <c r="B15849" s="1"/>
    </row>
    <row r="15850" spans="2:2" x14ac:dyDescent="0.25">
      <c r="B15850" s="1"/>
    </row>
    <row r="15851" spans="2:2" x14ac:dyDescent="0.25">
      <c r="B15851" s="1"/>
    </row>
    <row r="15852" spans="2:2" x14ac:dyDescent="0.25">
      <c r="B15852" s="1"/>
    </row>
    <row r="15853" spans="2:2" x14ac:dyDescent="0.25">
      <c r="B15853" s="1"/>
    </row>
    <row r="15854" spans="2:2" x14ac:dyDescent="0.25">
      <c r="B15854" s="1"/>
    </row>
    <row r="15855" spans="2:2" x14ac:dyDescent="0.25">
      <c r="B15855" s="1"/>
    </row>
    <row r="15856" spans="2:2" x14ac:dyDescent="0.25">
      <c r="B15856" s="1"/>
    </row>
    <row r="15857" spans="2:2" x14ac:dyDescent="0.25">
      <c r="B15857" s="1"/>
    </row>
    <row r="15858" spans="2:2" x14ac:dyDescent="0.25">
      <c r="B15858" s="1"/>
    </row>
    <row r="15859" spans="2:2" x14ac:dyDescent="0.25">
      <c r="B15859" s="1"/>
    </row>
    <row r="15860" spans="2:2" x14ac:dyDescent="0.25">
      <c r="B15860" s="1"/>
    </row>
    <row r="15861" spans="2:2" x14ac:dyDescent="0.25">
      <c r="B15861" s="1"/>
    </row>
    <row r="15862" spans="2:2" x14ac:dyDescent="0.25">
      <c r="B15862" s="1"/>
    </row>
    <row r="15863" spans="2:2" x14ac:dyDescent="0.25">
      <c r="B15863" s="1"/>
    </row>
    <row r="15864" spans="2:2" x14ac:dyDescent="0.25">
      <c r="B15864" s="1"/>
    </row>
    <row r="15865" spans="2:2" x14ac:dyDescent="0.25">
      <c r="B15865" s="1"/>
    </row>
    <row r="15866" spans="2:2" x14ac:dyDescent="0.25">
      <c r="B15866" s="1"/>
    </row>
    <row r="15867" spans="2:2" x14ac:dyDescent="0.25">
      <c r="B15867" s="1"/>
    </row>
    <row r="15868" spans="2:2" x14ac:dyDescent="0.25">
      <c r="B15868" s="1"/>
    </row>
    <row r="15869" spans="2:2" x14ac:dyDescent="0.25">
      <c r="B15869" s="1"/>
    </row>
    <row r="15870" spans="2:2" x14ac:dyDescent="0.25">
      <c r="B15870" s="1"/>
    </row>
    <row r="15871" spans="2:2" x14ac:dyDescent="0.25">
      <c r="B15871" s="1"/>
    </row>
    <row r="15872" spans="2:2" x14ac:dyDescent="0.25">
      <c r="B15872" s="1"/>
    </row>
    <row r="15873" spans="2:2" x14ac:dyDescent="0.25">
      <c r="B15873" s="1"/>
    </row>
    <row r="15874" spans="2:2" x14ac:dyDescent="0.25">
      <c r="B15874" s="1"/>
    </row>
    <row r="15875" spans="2:2" x14ac:dyDescent="0.25">
      <c r="B15875" s="1"/>
    </row>
    <row r="15876" spans="2:2" x14ac:dyDescent="0.25">
      <c r="B15876" s="1"/>
    </row>
    <row r="15877" spans="2:2" x14ac:dyDescent="0.25">
      <c r="B15877" s="1"/>
    </row>
    <row r="15878" spans="2:2" x14ac:dyDescent="0.25">
      <c r="B15878" s="1"/>
    </row>
    <row r="15879" spans="2:2" x14ac:dyDescent="0.25">
      <c r="B15879" s="1"/>
    </row>
    <row r="15880" spans="2:2" x14ac:dyDescent="0.25">
      <c r="B15880" s="1"/>
    </row>
    <row r="15881" spans="2:2" x14ac:dyDescent="0.25">
      <c r="B15881" s="1"/>
    </row>
    <row r="15882" spans="2:2" x14ac:dyDescent="0.25">
      <c r="B15882" s="1"/>
    </row>
    <row r="15883" spans="2:2" x14ac:dyDescent="0.25">
      <c r="B15883" s="1"/>
    </row>
    <row r="15884" spans="2:2" x14ac:dyDescent="0.25">
      <c r="B15884" s="1"/>
    </row>
    <row r="15885" spans="2:2" x14ac:dyDescent="0.25">
      <c r="B15885" s="1"/>
    </row>
    <row r="15886" spans="2:2" x14ac:dyDescent="0.25">
      <c r="B15886" s="1"/>
    </row>
    <row r="15887" spans="2:2" x14ac:dyDescent="0.25">
      <c r="B15887" s="1"/>
    </row>
    <row r="15888" spans="2:2" x14ac:dyDescent="0.25">
      <c r="B15888" s="1"/>
    </row>
    <row r="15889" spans="2:2" x14ac:dyDescent="0.25">
      <c r="B15889" s="1"/>
    </row>
    <row r="15890" spans="2:2" x14ac:dyDescent="0.25">
      <c r="B15890" s="1"/>
    </row>
    <row r="15891" spans="2:2" x14ac:dyDescent="0.25">
      <c r="B15891" s="1"/>
    </row>
    <row r="15892" spans="2:2" x14ac:dyDescent="0.25">
      <c r="B15892" s="1"/>
    </row>
    <row r="15893" spans="2:2" x14ac:dyDescent="0.25">
      <c r="B15893" s="1"/>
    </row>
    <row r="15894" spans="2:2" x14ac:dyDescent="0.25">
      <c r="B15894" s="1"/>
    </row>
    <row r="15895" spans="2:2" x14ac:dyDescent="0.25">
      <c r="B15895" s="1"/>
    </row>
    <row r="15896" spans="2:2" x14ac:dyDescent="0.25">
      <c r="B15896" s="1"/>
    </row>
    <row r="15897" spans="2:2" x14ac:dyDescent="0.25">
      <c r="B15897" s="1"/>
    </row>
    <row r="15898" spans="2:2" x14ac:dyDescent="0.25">
      <c r="B15898" s="1"/>
    </row>
    <row r="15899" spans="2:2" x14ac:dyDescent="0.25">
      <c r="B15899" s="1"/>
    </row>
    <row r="15900" spans="2:2" x14ac:dyDescent="0.25">
      <c r="B15900" s="1"/>
    </row>
    <row r="15901" spans="2:2" x14ac:dyDescent="0.25">
      <c r="B15901" s="1"/>
    </row>
    <row r="15902" spans="2:2" x14ac:dyDescent="0.25">
      <c r="B15902" s="1"/>
    </row>
    <row r="15903" spans="2:2" x14ac:dyDescent="0.25">
      <c r="B15903" s="1"/>
    </row>
    <row r="15904" spans="2:2" x14ac:dyDescent="0.25">
      <c r="B15904" s="1"/>
    </row>
    <row r="15905" spans="2:2" x14ac:dyDescent="0.25">
      <c r="B15905" s="1"/>
    </row>
    <row r="15906" spans="2:2" x14ac:dyDescent="0.25">
      <c r="B15906" s="1"/>
    </row>
    <row r="15907" spans="2:2" x14ac:dyDescent="0.25">
      <c r="B15907" s="1"/>
    </row>
    <row r="15908" spans="2:2" x14ac:dyDescent="0.25">
      <c r="B15908" s="1"/>
    </row>
    <row r="15909" spans="2:2" x14ac:dyDescent="0.25">
      <c r="B15909" s="1"/>
    </row>
    <row r="15910" spans="2:2" x14ac:dyDescent="0.25">
      <c r="B15910" s="1"/>
    </row>
    <row r="15911" spans="2:2" x14ac:dyDescent="0.25">
      <c r="B15911" s="1"/>
    </row>
    <row r="15912" spans="2:2" x14ac:dyDescent="0.25">
      <c r="B15912" s="1"/>
    </row>
    <row r="15913" spans="2:2" x14ac:dyDescent="0.25">
      <c r="B15913" s="1"/>
    </row>
    <row r="15914" spans="2:2" x14ac:dyDescent="0.25">
      <c r="B15914" s="1"/>
    </row>
    <row r="15915" spans="2:2" x14ac:dyDescent="0.25">
      <c r="B15915" s="1"/>
    </row>
    <row r="15916" spans="2:2" x14ac:dyDescent="0.25">
      <c r="B15916" s="1"/>
    </row>
    <row r="15917" spans="2:2" x14ac:dyDescent="0.25">
      <c r="B15917" s="1"/>
    </row>
    <row r="15918" spans="2:2" x14ac:dyDescent="0.25">
      <c r="B15918" s="1"/>
    </row>
    <row r="15919" spans="2:2" x14ac:dyDescent="0.25">
      <c r="B15919" s="1"/>
    </row>
    <row r="15920" spans="2:2" x14ac:dyDescent="0.25">
      <c r="B15920" s="1"/>
    </row>
    <row r="15921" spans="2:2" x14ac:dyDescent="0.25">
      <c r="B15921" s="1"/>
    </row>
    <row r="15922" spans="2:2" x14ac:dyDescent="0.25">
      <c r="B15922" s="1"/>
    </row>
    <row r="15923" spans="2:2" x14ac:dyDescent="0.25">
      <c r="B15923" s="1"/>
    </row>
    <row r="15924" spans="2:2" x14ac:dyDescent="0.25">
      <c r="B15924" s="1"/>
    </row>
    <row r="15925" spans="2:2" x14ac:dyDescent="0.25">
      <c r="B15925" s="1"/>
    </row>
    <row r="15926" spans="2:2" x14ac:dyDescent="0.25">
      <c r="B15926" s="1"/>
    </row>
    <row r="15927" spans="2:2" x14ac:dyDescent="0.25">
      <c r="B15927" s="1"/>
    </row>
    <row r="15928" spans="2:2" x14ac:dyDescent="0.25">
      <c r="B15928" s="1"/>
    </row>
    <row r="15929" spans="2:2" x14ac:dyDescent="0.25">
      <c r="B15929" s="1"/>
    </row>
    <row r="15930" spans="2:2" x14ac:dyDescent="0.25">
      <c r="B15930" s="1"/>
    </row>
    <row r="15931" spans="2:2" x14ac:dyDescent="0.25">
      <c r="B15931" s="1"/>
    </row>
    <row r="15932" spans="2:2" x14ac:dyDescent="0.25">
      <c r="B15932" s="1"/>
    </row>
    <row r="15933" spans="2:2" x14ac:dyDescent="0.25">
      <c r="B15933" s="1"/>
    </row>
    <row r="15934" spans="2:2" x14ac:dyDescent="0.25">
      <c r="B15934" s="1"/>
    </row>
    <row r="15935" spans="2:2" x14ac:dyDescent="0.25">
      <c r="B15935" s="1"/>
    </row>
    <row r="15936" spans="2:2" x14ac:dyDescent="0.25">
      <c r="B15936" s="1"/>
    </row>
    <row r="15937" spans="2:2" x14ac:dyDescent="0.25">
      <c r="B15937" s="1"/>
    </row>
    <row r="15938" spans="2:2" x14ac:dyDescent="0.25">
      <c r="B15938" s="1"/>
    </row>
    <row r="15939" spans="2:2" x14ac:dyDescent="0.25">
      <c r="B15939" s="1"/>
    </row>
    <row r="15940" spans="2:2" x14ac:dyDescent="0.25">
      <c r="B15940" s="1"/>
    </row>
    <row r="15941" spans="2:2" x14ac:dyDescent="0.25">
      <c r="B15941" s="1"/>
    </row>
    <row r="15942" spans="2:2" x14ac:dyDescent="0.25">
      <c r="B15942" s="1"/>
    </row>
    <row r="15943" spans="2:2" x14ac:dyDescent="0.25">
      <c r="B15943" s="1"/>
    </row>
    <row r="15944" spans="2:2" x14ac:dyDescent="0.25">
      <c r="B15944" s="1"/>
    </row>
    <row r="15945" spans="2:2" x14ac:dyDescent="0.25">
      <c r="B15945" s="1"/>
    </row>
    <row r="15946" spans="2:2" x14ac:dyDescent="0.25">
      <c r="B15946" s="1"/>
    </row>
    <row r="15947" spans="2:2" x14ac:dyDescent="0.25">
      <c r="B15947" s="1"/>
    </row>
    <row r="15948" spans="2:2" x14ac:dyDescent="0.25">
      <c r="B15948" s="1"/>
    </row>
    <row r="15949" spans="2:2" x14ac:dyDescent="0.25">
      <c r="B15949" s="1"/>
    </row>
    <row r="15950" spans="2:2" x14ac:dyDescent="0.25">
      <c r="B15950" s="1"/>
    </row>
    <row r="15951" spans="2:2" x14ac:dyDescent="0.25">
      <c r="B15951" s="1"/>
    </row>
    <row r="15952" spans="2:2" x14ac:dyDescent="0.25">
      <c r="B15952" s="1"/>
    </row>
    <row r="15953" spans="2:2" x14ac:dyDescent="0.25">
      <c r="B15953" s="1"/>
    </row>
    <row r="15954" spans="2:2" x14ac:dyDescent="0.25">
      <c r="B15954" s="1"/>
    </row>
    <row r="15955" spans="2:2" x14ac:dyDescent="0.25">
      <c r="B15955" s="1"/>
    </row>
    <row r="15956" spans="2:2" x14ac:dyDescent="0.25">
      <c r="B15956" s="1"/>
    </row>
    <row r="15957" spans="2:2" x14ac:dyDescent="0.25">
      <c r="B15957" s="1"/>
    </row>
    <row r="15958" spans="2:2" x14ac:dyDescent="0.25">
      <c r="B15958" s="1"/>
    </row>
    <row r="15959" spans="2:2" x14ac:dyDescent="0.25">
      <c r="B15959" s="1"/>
    </row>
    <row r="15960" spans="2:2" x14ac:dyDescent="0.25">
      <c r="B15960" s="1"/>
    </row>
    <row r="15961" spans="2:2" x14ac:dyDescent="0.25">
      <c r="B15961" s="1"/>
    </row>
    <row r="15962" spans="2:2" x14ac:dyDescent="0.25">
      <c r="B15962" s="1"/>
    </row>
    <row r="15963" spans="2:2" x14ac:dyDescent="0.25">
      <c r="B15963" s="1"/>
    </row>
    <row r="15964" spans="2:2" x14ac:dyDescent="0.25">
      <c r="B15964" s="1"/>
    </row>
    <row r="15965" spans="2:2" x14ac:dyDescent="0.25">
      <c r="B15965" s="1"/>
    </row>
    <row r="15966" spans="2:2" x14ac:dyDescent="0.25">
      <c r="B15966" s="1"/>
    </row>
    <row r="15967" spans="2:2" x14ac:dyDescent="0.25">
      <c r="B15967" s="1"/>
    </row>
    <row r="15968" spans="2:2" x14ac:dyDescent="0.25">
      <c r="B15968" s="1"/>
    </row>
    <row r="15969" spans="2:2" x14ac:dyDescent="0.25">
      <c r="B15969" s="1"/>
    </row>
    <row r="15970" spans="2:2" x14ac:dyDescent="0.25">
      <c r="B15970" s="1"/>
    </row>
    <row r="15971" spans="2:2" x14ac:dyDescent="0.25">
      <c r="B15971" s="1"/>
    </row>
    <row r="15972" spans="2:2" x14ac:dyDescent="0.25">
      <c r="B15972" s="1"/>
    </row>
    <row r="15973" spans="2:2" x14ac:dyDescent="0.25">
      <c r="B15973" s="1"/>
    </row>
    <row r="15974" spans="2:2" x14ac:dyDescent="0.25">
      <c r="B15974" s="1"/>
    </row>
    <row r="15975" spans="2:2" x14ac:dyDescent="0.25">
      <c r="B15975" s="1"/>
    </row>
    <row r="15976" spans="2:2" x14ac:dyDescent="0.25">
      <c r="B15976" s="1"/>
    </row>
    <row r="15977" spans="2:2" x14ac:dyDescent="0.25">
      <c r="B15977" s="1"/>
    </row>
    <row r="15978" spans="2:2" x14ac:dyDescent="0.25">
      <c r="B15978" s="1"/>
    </row>
    <row r="15979" spans="2:2" x14ac:dyDescent="0.25">
      <c r="B15979" s="1"/>
    </row>
    <row r="15980" spans="2:2" x14ac:dyDescent="0.25">
      <c r="B15980" s="1"/>
    </row>
    <row r="15981" spans="2:2" x14ac:dyDescent="0.25">
      <c r="B15981" s="1"/>
    </row>
    <row r="15982" spans="2:2" x14ac:dyDescent="0.25">
      <c r="B15982" s="1"/>
    </row>
    <row r="15983" spans="2:2" x14ac:dyDescent="0.25">
      <c r="B15983" s="1"/>
    </row>
    <row r="15984" spans="2:2" x14ac:dyDescent="0.25">
      <c r="B15984" s="1"/>
    </row>
    <row r="15985" spans="2:2" x14ac:dyDescent="0.25">
      <c r="B15985" s="1"/>
    </row>
    <row r="15986" spans="2:2" x14ac:dyDescent="0.25">
      <c r="B15986" s="1"/>
    </row>
    <row r="15987" spans="2:2" x14ac:dyDescent="0.25">
      <c r="B15987" s="1"/>
    </row>
    <row r="15988" spans="2:2" x14ac:dyDescent="0.25">
      <c r="B15988" s="1"/>
    </row>
    <row r="15989" spans="2:2" x14ac:dyDescent="0.25">
      <c r="B15989" s="1"/>
    </row>
    <row r="15990" spans="2:2" x14ac:dyDescent="0.25">
      <c r="B15990" s="1"/>
    </row>
    <row r="15991" spans="2:2" x14ac:dyDescent="0.25">
      <c r="B15991" s="1"/>
    </row>
    <row r="15992" spans="2:2" x14ac:dyDescent="0.25">
      <c r="B15992" s="1"/>
    </row>
    <row r="15993" spans="2:2" x14ac:dyDescent="0.25">
      <c r="B15993" s="1"/>
    </row>
    <row r="15994" spans="2:2" x14ac:dyDescent="0.25">
      <c r="B15994" s="1"/>
    </row>
    <row r="15995" spans="2:2" x14ac:dyDescent="0.25">
      <c r="B15995" s="1"/>
    </row>
    <row r="15996" spans="2:2" x14ac:dyDescent="0.25">
      <c r="B15996" s="1"/>
    </row>
    <row r="15997" spans="2:2" x14ac:dyDescent="0.25">
      <c r="B15997" s="1"/>
    </row>
    <row r="15998" spans="2:2" x14ac:dyDescent="0.25">
      <c r="B15998" s="1"/>
    </row>
    <row r="15999" spans="2:2" x14ac:dyDescent="0.25">
      <c r="B15999" s="1"/>
    </row>
    <row r="16000" spans="2:2" x14ac:dyDescent="0.25">
      <c r="B16000" s="1"/>
    </row>
    <row r="16001" spans="2:2" x14ac:dyDescent="0.25">
      <c r="B16001" s="1"/>
    </row>
    <row r="16002" spans="2:2" x14ac:dyDescent="0.25">
      <c r="B16002" s="1"/>
    </row>
    <row r="16003" spans="2:2" x14ac:dyDescent="0.25">
      <c r="B16003" s="1"/>
    </row>
    <row r="16004" spans="2:2" x14ac:dyDescent="0.25">
      <c r="B16004" s="1"/>
    </row>
    <row r="16005" spans="2:2" x14ac:dyDescent="0.25">
      <c r="B16005" s="1"/>
    </row>
    <row r="16006" spans="2:2" x14ac:dyDescent="0.25">
      <c r="B16006" s="1"/>
    </row>
    <row r="16007" spans="2:2" x14ac:dyDescent="0.25">
      <c r="B16007" s="1"/>
    </row>
    <row r="16008" spans="2:2" x14ac:dyDescent="0.25">
      <c r="B16008" s="1"/>
    </row>
    <row r="16009" spans="2:2" x14ac:dyDescent="0.25">
      <c r="B16009" s="1"/>
    </row>
    <row r="16010" spans="2:2" x14ac:dyDescent="0.25">
      <c r="B16010" s="1"/>
    </row>
    <row r="16011" spans="2:2" x14ac:dyDescent="0.25">
      <c r="B16011" s="1"/>
    </row>
    <row r="16012" spans="2:2" x14ac:dyDescent="0.25">
      <c r="B16012" s="1"/>
    </row>
    <row r="16013" spans="2:2" x14ac:dyDescent="0.25">
      <c r="B16013" s="1"/>
    </row>
    <row r="16014" spans="2:2" x14ac:dyDescent="0.25">
      <c r="B16014" s="1"/>
    </row>
    <row r="16015" spans="2:2" x14ac:dyDescent="0.25">
      <c r="B16015" s="1"/>
    </row>
    <row r="16016" spans="2:2" x14ac:dyDescent="0.25">
      <c r="B16016" s="1"/>
    </row>
    <row r="16017" spans="2:2" x14ac:dyDescent="0.25">
      <c r="B16017" s="1"/>
    </row>
    <row r="16018" spans="2:2" x14ac:dyDescent="0.25">
      <c r="B16018" s="1"/>
    </row>
    <row r="16019" spans="2:2" x14ac:dyDescent="0.25">
      <c r="B16019" s="1"/>
    </row>
    <row r="16020" spans="2:2" x14ac:dyDescent="0.25">
      <c r="B16020" s="1"/>
    </row>
    <row r="16021" spans="2:2" x14ac:dyDescent="0.25">
      <c r="B16021" s="1"/>
    </row>
    <row r="16022" spans="2:2" x14ac:dyDescent="0.25">
      <c r="B16022" s="1"/>
    </row>
    <row r="16023" spans="2:2" x14ac:dyDescent="0.25">
      <c r="B16023" s="1"/>
    </row>
    <row r="16024" spans="2:2" x14ac:dyDescent="0.25">
      <c r="B16024" s="1"/>
    </row>
    <row r="16025" spans="2:2" x14ac:dyDescent="0.25">
      <c r="B16025" s="1"/>
    </row>
    <row r="16026" spans="2:2" x14ac:dyDescent="0.25">
      <c r="B16026" s="1"/>
    </row>
    <row r="16027" spans="2:2" x14ac:dyDescent="0.25">
      <c r="B16027" s="1"/>
    </row>
    <row r="16028" spans="2:2" x14ac:dyDescent="0.25">
      <c r="B16028" s="1"/>
    </row>
    <row r="16029" spans="2:2" x14ac:dyDescent="0.25">
      <c r="B16029" s="1"/>
    </row>
    <row r="16030" spans="2:2" x14ac:dyDescent="0.25">
      <c r="B16030" s="1"/>
    </row>
    <row r="16031" spans="2:2" x14ac:dyDescent="0.25">
      <c r="B16031" s="1"/>
    </row>
    <row r="16032" spans="2:2" x14ac:dyDescent="0.25">
      <c r="B16032" s="1"/>
    </row>
    <row r="16033" spans="2:2" x14ac:dyDescent="0.25">
      <c r="B16033" s="1"/>
    </row>
    <row r="16034" spans="2:2" x14ac:dyDescent="0.25">
      <c r="B16034" s="1"/>
    </row>
    <row r="16035" spans="2:2" x14ac:dyDescent="0.25">
      <c r="B16035" s="1"/>
    </row>
    <row r="16036" spans="2:2" x14ac:dyDescent="0.25">
      <c r="B16036" s="1"/>
    </row>
    <row r="16037" spans="2:2" x14ac:dyDescent="0.25">
      <c r="B16037" s="1"/>
    </row>
    <row r="16038" spans="2:2" x14ac:dyDescent="0.25">
      <c r="B16038" s="1"/>
    </row>
    <row r="16039" spans="2:2" x14ac:dyDescent="0.25">
      <c r="B16039" s="1"/>
    </row>
    <row r="16040" spans="2:2" x14ac:dyDescent="0.25">
      <c r="B16040" s="1"/>
    </row>
    <row r="16041" spans="2:2" x14ac:dyDescent="0.25">
      <c r="B16041" s="1"/>
    </row>
    <row r="16042" spans="2:2" x14ac:dyDescent="0.25">
      <c r="B16042" s="1"/>
    </row>
    <row r="16043" spans="2:2" x14ac:dyDescent="0.25">
      <c r="B16043" s="1"/>
    </row>
    <row r="16044" spans="2:2" x14ac:dyDescent="0.25">
      <c r="B16044" s="1"/>
    </row>
    <row r="16045" spans="2:2" x14ac:dyDescent="0.25">
      <c r="B16045" s="1"/>
    </row>
    <row r="16046" spans="2:2" x14ac:dyDescent="0.25">
      <c r="B16046" s="1"/>
    </row>
    <row r="16047" spans="2:2" x14ac:dyDescent="0.25">
      <c r="B16047" s="1"/>
    </row>
    <row r="16048" spans="2:2" x14ac:dyDescent="0.25">
      <c r="B16048" s="1"/>
    </row>
    <row r="16049" spans="2:2" x14ac:dyDescent="0.25">
      <c r="B16049" s="1"/>
    </row>
    <row r="16050" spans="2:2" x14ac:dyDescent="0.25">
      <c r="B16050" s="1"/>
    </row>
    <row r="16051" spans="2:2" x14ac:dyDescent="0.25">
      <c r="B16051" s="1"/>
    </row>
    <row r="16052" spans="2:2" x14ac:dyDescent="0.25">
      <c r="B16052" s="1"/>
    </row>
    <row r="16053" spans="2:2" x14ac:dyDescent="0.25">
      <c r="B16053" s="1"/>
    </row>
    <row r="16054" spans="2:2" x14ac:dyDescent="0.25">
      <c r="B16054" s="1"/>
    </row>
    <row r="16055" spans="2:2" x14ac:dyDescent="0.25">
      <c r="B16055" s="1"/>
    </row>
    <row r="16056" spans="2:2" x14ac:dyDescent="0.25">
      <c r="B16056" s="1"/>
    </row>
    <row r="16057" spans="2:2" x14ac:dyDescent="0.25">
      <c r="B16057" s="1"/>
    </row>
    <row r="16058" spans="2:2" x14ac:dyDescent="0.25">
      <c r="B16058" s="1"/>
    </row>
    <row r="16059" spans="2:2" x14ac:dyDescent="0.25">
      <c r="B16059" s="1"/>
    </row>
    <row r="16060" spans="2:2" x14ac:dyDescent="0.25">
      <c r="B16060" s="1"/>
    </row>
    <row r="16061" spans="2:2" x14ac:dyDescent="0.25">
      <c r="B16061" s="1"/>
    </row>
    <row r="16062" spans="2:2" x14ac:dyDescent="0.25">
      <c r="B16062" s="1"/>
    </row>
    <row r="16063" spans="2:2" x14ac:dyDescent="0.25">
      <c r="B16063" s="1"/>
    </row>
    <row r="16064" spans="2:2" x14ac:dyDescent="0.25">
      <c r="B16064" s="1"/>
    </row>
    <row r="16065" spans="2:2" x14ac:dyDescent="0.25">
      <c r="B16065" s="1"/>
    </row>
    <row r="16066" spans="2:2" x14ac:dyDescent="0.25">
      <c r="B16066" s="1"/>
    </row>
    <row r="16067" spans="2:2" x14ac:dyDescent="0.25">
      <c r="B16067" s="1"/>
    </row>
    <row r="16068" spans="2:2" x14ac:dyDescent="0.25">
      <c r="B16068" s="1"/>
    </row>
    <row r="16069" spans="2:2" x14ac:dyDescent="0.25">
      <c r="B16069" s="1"/>
    </row>
    <row r="16070" spans="2:2" x14ac:dyDescent="0.25">
      <c r="B16070" s="1"/>
    </row>
    <row r="16071" spans="2:2" x14ac:dyDescent="0.25">
      <c r="B16071" s="1"/>
    </row>
    <row r="16072" spans="2:2" x14ac:dyDescent="0.25">
      <c r="B16072" s="1"/>
    </row>
    <row r="16073" spans="2:2" x14ac:dyDescent="0.25">
      <c r="B16073" s="1"/>
    </row>
    <row r="16074" spans="2:2" x14ac:dyDescent="0.25">
      <c r="B16074" s="1"/>
    </row>
    <row r="16075" spans="2:2" x14ac:dyDescent="0.25">
      <c r="B16075" s="1"/>
    </row>
    <row r="16076" spans="2:2" x14ac:dyDescent="0.25">
      <c r="B16076" s="1"/>
    </row>
    <row r="16077" spans="2:2" x14ac:dyDescent="0.25">
      <c r="B16077" s="1"/>
    </row>
    <row r="16078" spans="2:2" x14ac:dyDescent="0.25">
      <c r="B16078" s="1"/>
    </row>
    <row r="16079" spans="2:2" x14ac:dyDescent="0.25">
      <c r="B16079" s="1"/>
    </row>
    <row r="16080" spans="2:2" x14ac:dyDescent="0.25">
      <c r="B16080" s="1"/>
    </row>
    <row r="16081" spans="2:2" x14ac:dyDescent="0.25">
      <c r="B16081" s="1"/>
    </row>
    <row r="16082" spans="2:2" x14ac:dyDescent="0.25">
      <c r="B16082" s="1"/>
    </row>
    <row r="16083" spans="2:2" x14ac:dyDescent="0.25">
      <c r="B16083" s="1"/>
    </row>
    <row r="16084" spans="2:2" x14ac:dyDescent="0.25">
      <c r="B16084" s="1"/>
    </row>
    <row r="16085" spans="2:2" x14ac:dyDescent="0.25">
      <c r="B16085" s="1"/>
    </row>
    <row r="16086" spans="2:2" x14ac:dyDescent="0.25">
      <c r="B16086" s="1"/>
    </row>
    <row r="16087" spans="2:2" x14ac:dyDescent="0.25">
      <c r="B16087" s="1"/>
    </row>
    <row r="16088" spans="2:2" x14ac:dyDescent="0.25">
      <c r="B16088" s="1"/>
    </row>
    <row r="16089" spans="2:2" x14ac:dyDescent="0.25">
      <c r="B16089" s="1"/>
    </row>
    <row r="16090" spans="2:2" x14ac:dyDescent="0.25">
      <c r="B16090" s="1"/>
    </row>
    <row r="16091" spans="2:2" x14ac:dyDescent="0.25">
      <c r="B16091" s="1"/>
    </row>
    <row r="16092" spans="2:2" x14ac:dyDescent="0.25">
      <c r="B16092" s="1"/>
    </row>
    <row r="16093" spans="2:2" x14ac:dyDescent="0.25">
      <c r="B16093" s="1"/>
    </row>
    <row r="16094" spans="2:2" x14ac:dyDescent="0.25">
      <c r="B16094" s="1"/>
    </row>
    <row r="16095" spans="2:2" x14ac:dyDescent="0.25">
      <c r="B16095" s="1"/>
    </row>
    <row r="16096" spans="2:2" x14ac:dyDescent="0.25">
      <c r="B16096" s="1"/>
    </row>
    <row r="16097" spans="2:2" x14ac:dyDescent="0.25">
      <c r="B16097" s="1"/>
    </row>
    <row r="16098" spans="2:2" x14ac:dyDescent="0.25">
      <c r="B16098" s="1"/>
    </row>
    <row r="16099" spans="2:2" x14ac:dyDescent="0.25">
      <c r="B16099" s="1"/>
    </row>
    <row r="16100" spans="2:2" x14ac:dyDescent="0.25">
      <c r="B16100" s="1"/>
    </row>
    <row r="16101" spans="2:2" x14ac:dyDescent="0.25">
      <c r="B16101" s="1"/>
    </row>
    <row r="16102" spans="2:2" x14ac:dyDescent="0.25">
      <c r="B16102" s="1"/>
    </row>
    <row r="16103" spans="2:2" x14ac:dyDescent="0.25">
      <c r="B16103" s="1"/>
    </row>
    <row r="16104" spans="2:2" x14ac:dyDescent="0.25">
      <c r="B16104" s="1"/>
    </row>
    <row r="16105" spans="2:2" x14ac:dyDescent="0.25">
      <c r="B16105" s="1"/>
    </row>
    <row r="16106" spans="2:2" x14ac:dyDescent="0.25">
      <c r="B16106" s="1"/>
    </row>
    <row r="16107" spans="2:2" x14ac:dyDescent="0.25">
      <c r="B16107" s="1"/>
    </row>
    <row r="16108" spans="2:2" x14ac:dyDescent="0.25">
      <c r="B16108" s="1"/>
    </row>
    <row r="16109" spans="2:2" x14ac:dyDescent="0.25">
      <c r="B16109" s="1"/>
    </row>
    <row r="16110" spans="2:2" x14ac:dyDescent="0.25">
      <c r="B16110" s="1"/>
    </row>
    <row r="16111" spans="2:2" x14ac:dyDescent="0.25">
      <c r="B16111" s="1"/>
    </row>
    <row r="16112" spans="2:2" x14ac:dyDescent="0.25">
      <c r="B16112" s="1"/>
    </row>
    <row r="16113" spans="2:2" x14ac:dyDescent="0.25">
      <c r="B16113" s="1"/>
    </row>
    <row r="16114" spans="2:2" x14ac:dyDescent="0.25">
      <c r="B16114" s="1"/>
    </row>
    <row r="16115" spans="2:2" x14ac:dyDescent="0.25">
      <c r="B16115" s="1"/>
    </row>
    <row r="16116" spans="2:2" x14ac:dyDescent="0.25">
      <c r="B16116" s="1"/>
    </row>
    <row r="16117" spans="2:2" x14ac:dyDescent="0.25">
      <c r="B16117" s="1"/>
    </row>
    <row r="16118" spans="2:2" x14ac:dyDescent="0.25">
      <c r="B16118" s="1"/>
    </row>
    <row r="16119" spans="2:2" x14ac:dyDescent="0.25">
      <c r="B16119" s="1"/>
    </row>
    <row r="16120" spans="2:2" x14ac:dyDescent="0.25">
      <c r="B16120" s="1"/>
    </row>
    <row r="16121" spans="2:2" x14ac:dyDescent="0.25">
      <c r="B16121" s="1"/>
    </row>
    <row r="16122" spans="2:2" x14ac:dyDescent="0.25">
      <c r="B16122" s="1"/>
    </row>
    <row r="16123" spans="2:2" x14ac:dyDescent="0.25">
      <c r="B16123" s="1"/>
    </row>
    <row r="16124" spans="2:2" x14ac:dyDescent="0.25">
      <c r="B16124" s="1"/>
    </row>
    <row r="16125" spans="2:2" x14ac:dyDescent="0.25">
      <c r="B16125" s="1"/>
    </row>
    <row r="16126" spans="2:2" x14ac:dyDescent="0.25">
      <c r="B16126" s="1"/>
    </row>
    <row r="16127" spans="2:2" x14ac:dyDescent="0.25">
      <c r="B16127" s="1"/>
    </row>
    <row r="16128" spans="2:2" x14ac:dyDescent="0.25">
      <c r="B16128" s="1"/>
    </row>
    <row r="16129" spans="2:2" x14ac:dyDescent="0.25">
      <c r="B16129" s="1"/>
    </row>
    <row r="16130" spans="2:2" x14ac:dyDescent="0.25">
      <c r="B16130" s="1"/>
    </row>
    <row r="16131" spans="2:2" x14ac:dyDescent="0.25">
      <c r="B16131" s="1"/>
    </row>
    <row r="16132" spans="2:2" x14ac:dyDescent="0.25">
      <c r="B16132" s="1"/>
    </row>
    <row r="16133" spans="2:2" x14ac:dyDescent="0.25">
      <c r="B16133" s="1"/>
    </row>
    <row r="16134" spans="2:2" x14ac:dyDescent="0.25">
      <c r="B16134" s="1"/>
    </row>
    <row r="16135" spans="2:2" x14ac:dyDescent="0.25">
      <c r="B16135" s="1"/>
    </row>
    <row r="16136" spans="2:2" x14ac:dyDescent="0.25">
      <c r="B16136" s="1"/>
    </row>
    <row r="16137" spans="2:2" x14ac:dyDescent="0.25">
      <c r="B16137" s="1"/>
    </row>
    <row r="16138" spans="2:2" x14ac:dyDescent="0.25">
      <c r="B16138" s="1"/>
    </row>
    <row r="16139" spans="2:2" x14ac:dyDescent="0.25">
      <c r="B16139" s="1"/>
    </row>
    <row r="16140" spans="2:2" x14ac:dyDescent="0.25">
      <c r="B16140" s="1"/>
    </row>
    <row r="16141" spans="2:2" x14ac:dyDescent="0.25">
      <c r="B16141" s="1"/>
    </row>
    <row r="16142" spans="2:2" x14ac:dyDescent="0.25">
      <c r="B16142" s="1"/>
    </row>
    <row r="16143" spans="2:2" x14ac:dyDescent="0.25">
      <c r="B16143" s="1"/>
    </row>
    <row r="16144" spans="2:2" x14ac:dyDescent="0.25">
      <c r="B16144" s="1"/>
    </row>
    <row r="16145" spans="2:2" x14ac:dyDescent="0.25">
      <c r="B16145" s="1"/>
    </row>
    <row r="16146" spans="2:2" x14ac:dyDescent="0.25">
      <c r="B16146" s="1"/>
    </row>
    <row r="16147" spans="2:2" x14ac:dyDescent="0.25">
      <c r="B16147" s="1"/>
    </row>
    <row r="16148" spans="2:2" x14ac:dyDescent="0.25">
      <c r="B16148" s="1"/>
    </row>
    <row r="16149" spans="2:2" x14ac:dyDescent="0.25">
      <c r="B16149" s="1"/>
    </row>
    <row r="16150" spans="2:2" x14ac:dyDescent="0.25">
      <c r="B16150" s="1"/>
    </row>
    <row r="16151" spans="2:2" x14ac:dyDescent="0.25">
      <c r="B16151" s="1"/>
    </row>
    <row r="16152" spans="2:2" x14ac:dyDescent="0.25">
      <c r="B16152" s="1"/>
    </row>
    <row r="16153" spans="2:2" x14ac:dyDescent="0.25">
      <c r="B16153" s="1"/>
    </row>
    <row r="16154" spans="2:2" x14ac:dyDescent="0.25">
      <c r="B16154" s="1"/>
    </row>
    <row r="16155" spans="2:2" x14ac:dyDescent="0.25">
      <c r="B16155" s="1"/>
    </row>
    <row r="16156" spans="2:2" x14ac:dyDescent="0.25">
      <c r="B16156" s="1"/>
    </row>
    <row r="16157" spans="2:2" x14ac:dyDescent="0.25">
      <c r="B16157" s="1"/>
    </row>
    <row r="16158" spans="2:2" x14ac:dyDescent="0.25">
      <c r="B16158" s="1"/>
    </row>
    <row r="16159" spans="2:2" x14ac:dyDescent="0.25">
      <c r="B16159" s="1"/>
    </row>
    <row r="16160" spans="2:2" x14ac:dyDescent="0.25">
      <c r="B16160" s="1"/>
    </row>
    <row r="16161" spans="2:2" x14ac:dyDescent="0.25">
      <c r="B16161" s="1"/>
    </row>
    <row r="16162" spans="2:2" x14ac:dyDescent="0.25">
      <c r="B16162" s="1"/>
    </row>
    <row r="16163" spans="2:2" x14ac:dyDescent="0.25">
      <c r="B16163" s="1"/>
    </row>
    <row r="16164" spans="2:2" x14ac:dyDescent="0.25">
      <c r="B16164" s="1"/>
    </row>
    <row r="16165" spans="2:2" x14ac:dyDescent="0.25">
      <c r="B16165" s="1"/>
    </row>
    <row r="16166" spans="2:2" x14ac:dyDescent="0.25">
      <c r="B16166" s="1"/>
    </row>
    <row r="16167" spans="2:2" x14ac:dyDescent="0.25">
      <c r="B16167" s="1"/>
    </row>
    <row r="16168" spans="2:2" x14ac:dyDescent="0.25">
      <c r="B16168" s="1"/>
    </row>
    <row r="16169" spans="2:2" x14ac:dyDescent="0.25">
      <c r="B16169" s="1"/>
    </row>
    <row r="16170" spans="2:2" x14ac:dyDescent="0.25">
      <c r="B16170" s="1"/>
    </row>
    <row r="16171" spans="2:2" x14ac:dyDescent="0.25">
      <c r="B16171" s="1"/>
    </row>
    <row r="16172" spans="2:2" x14ac:dyDescent="0.25">
      <c r="B16172" s="1"/>
    </row>
    <row r="16173" spans="2:2" x14ac:dyDescent="0.25">
      <c r="B16173" s="1"/>
    </row>
    <row r="16174" spans="2:2" x14ac:dyDescent="0.25">
      <c r="B16174" s="1"/>
    </row>
    <row r="16175" spans="2:2" x14ac:dyDescent="0.25">
      <c r="B16175" s="1"/>
    </row>
    <row r="16176" spans="2:2" x14ac:dyDescent="0.25">
      <c r="B16176" s="1"/>
    </row>
    <row r="16177" spans="2:2" x14ac:dyDescent="0.25">
      <c r="B16177" s="1"/>
    </row>
    <row r="16178" spans="2:2" x14ac:dyDescent="0.25">
      <c r="B16178" s="1"/>
    </row>
    <row r="16179" spans="2:2" x14ac:dyDescent="0.25">
      <c r="B16179" s="1"/>
    </row>
    <row r="16180" spans="2:2" x14ac:dyDescent="0.25">
      <c r="B16180" s="1"/>
    </row>
    <row r="16181" spans="2:2" x14ac:dyDescent="0.25">
      <c r="B16181" s="1"/>
    </row>
    <row r="16182" spans="2:2" x14ac:dyDescent="0.25">
      <c r="B16182" s="1"/>
    </row>
    <row r="16183" spans="2:2" x14ac:dyDescent="0.25">
      <c r="B16183" s="1"/>
    </row>
    <row r="16184" spans="2:2" x14ac:dyDescent="0.25">
      <c r="B16184" s="1"/>
    </row>
    <row r="16185" spans="2:2" x14ac:dyDescent="0.25">
      <c r="B16185" s="1"/>
    </row>
    <row r="16186" spans="2:2" x14ac:dyDescent="0.25">
      <c r="B16186" s="1"/>
    </row>
    <row r="16187" spans="2:2" x14ac:dyDescent="0.25">
      <c r="B16187" s="1"/>
    </row>
    <row r="16188" spans="2:2" x14ac:dyDescent="0.25">
      <c r="B16188" s="1"/>
    </row>
    <row r="16189" spans="2:2" x14ac:dyDescent="0.25">
      <c r="B16189" s="1"/>
    </row>
    <row r="16190" spans="2:2" x14ac:dyDescent="0.25">
      <c r="B16190" s="1"/>
    </row>
    <row r="16191" spans="2:2" x14ac:dyDescent="0.25">
      <c r="B16191" s="1"/>
    </row>
    <row r="16192" spans="2:2" x14ac:dyDescent="0.25">
      <c r="B16192" s="1"/>
    </row>
    <row r="16193" spans="2:2" x14ac:dyDescent="0.25">
      <c r="B16193" s="1"/>
    </row>
    <row r="16194" spans="2:2" x14ac:dyDescent="0.25">
      <c r="B16194" s="1"/>
    </row>
    <row r="16195" spans="2:2" x14ac:dyDescent="0.25">
      <c r="B16195" s="1"/>
    </row>
    <row r="16196" spans="2:2" x14ac:dyDescent="0.25">
      <c r="B16196" s="1"/>
    </row>
    <row r="16197" spans="2:2" x14ac:dyDescent="0.25">
      <c r="B16197" s="1"/>
    </row>
    <row r="16198" spans="2:2" x14ac:dyDescent="0.25">
      <c r="B16198" s="1"/>
    </row>
    <row r="16199" spans="2:2" x14ac:dyDescent="0.25">
      <c r="B16199" s="1"/>
    </row>
    <row r="16200" spans="2:2" x14ac:dyDescent="0.25">
      <c r="B16200" s="1"/>
    </row>
    <row r="16201" spans="2:2" x14ac:dyDescent="0.25">
      <c r="B16201" s="1"/>
    </row>
    <row r="16202" spans="2:2" x14ac:dyDescent="0.25">
      <c r="B16202" s="1"/>
    </row>
    <row r="16203" spans="2:2" x14ac:dyDescent="0.25">
      <c r="B16203" s="1"/>
    </row>
    <row r="16204" spans="2:2" x14ac:dyDescent="0.25">
      <c r="B16204" s="1"/>
    </row>
    <row r="16205" spans="2:2" x14ac:dyDescent="0.25">
      <c r="B16205" s="1"/>
    </row>
    <row r="16206" spans="2:2" x14ac:dyDescent="0.25">
      <c r="B16206" s="1"/>
    </row>
    <row r="16207" spans="2:2" x14ac:dyDescent="0.25">
      <c r="B16207" s="1"/>
    </row>
    <row r="16208" spans="2:2" x14ac:dyDescent="0.25">
      <c r="B16208" s="1"/>
    </row>
    <row r="16209" spans="2:2" x14ac:dyDescent="0.25">
      <c r="B16209" s="1"/>
    </row>
    <row r="16210" spans="2:2" x14ac:dyDescent="0.25">
      <c r="B16210" s="1"/>
    </row>
    <row r="16211" spans="2:2" x14ac:dyDescent="0.25">
      <c r="B16211" s="1"/>
    </row>
    <row r="16212" spans="2:2" x14ac:dyDescent="0.25">
      <c r="B16212" s="1"/>
    </row>
    <row r="16213" spans="2:2" x14ac:dyDescent="0.25">
      <c r="B16213" s="1"/>
    </row>
    <row r="16214" spans="2:2" x14ac:dyDescent="0.25">
      <c r="B16214" s="1"/>
    </row>
    <row r="16215" spans="2:2" x14ac:dyDescent="0.25">
      <c r="B16215" s="1"/>
    </row>
    <row r="16216" spans="2:2" x14ac:dyDescent="0.25">
      <c r="B16216" s="1"/>
    </row>
    <row r="16217" spans="2:2" x14ac:dyDescent="0.25">
      <c r="B16217" s="1"/>
    </row>
    <row r="16218" spans="2:2" x14ac:dyDescent="0.25">
      <c r="B16218" s="1"/>
    </row>
    <row r="16219" spans="2:2" x14ac:dyDescent="0.25">
      <c r="B16219" s="1"/>
    </row>
    <row r="16220" spans="2:2" x14ac:dyDescent="0.25">
      <c r="B16220" s="1"/>
    </row>
    <row r="16221" spans="2:2" x14ac:dyDescent="0.25">
      <c r="B16221" s="1"/>
    </row>
    <row r="16222" spans="2:2" x14ac:dyDescent="0.25">
      <c r="B16222" s="1"/>
    </row>
    <row r="16223" spans="2:2" x14ac:dyDescent="0.25">
      <c r="B16223" s="1"/>
    </row>
    <row r="16224" spans="2:2" x14ac:dyDescent="0.25">
      <c r="B16224" s="1"/>
    </row>
    <row r="16225" spans="2:2" x14ac:dyDescent="0.25">
      <c r="B16225" s="1"/>
    </row>
    <row r="16226" spans="2:2" x14ac:dyDescent="0.25">
      <c r="B16226" s="1"/>
    </row>
    <row r="16227" spans="2:2" x14ac:dyDescent="0.25">
      <c r="B16227" s="1"/>
    </row>
    <row r="16228" spans="2:2" x14ac:dyDescent="0.25">
      <c r="B16228" s="1"/>
    </row>
    <row r="16229" spans="2:2" x14ac:dyDescent="0.25">
      <c r="B16229" s="1"/>
    </row>
    <row r="16230" spans="2:2" x14ac:dyDescent="0.25">
      <c r="B16230" s="1"/>
    </row>
    <row r="16231" spans="2:2" x14ac:dyDescent="0.25">
      <c r="B16231" s="1"/>
    </row>
    <row r="16232" spans="2:2" x14ac:dyDescent="0.25">
      <c r="B16232" s="1"/>
    </row>
    <row r="16233" spans="2:2" x14ac:dyDescent="0.25">
      <c r="B16233" s="1"/>
    </row>
    <row r="16234" spans="2:2" x14ac:dyDescent="0.25">
      <c r="B16234" s="1"/>
    </row>
    <row r="16235" spans="2:2" x14ac:dyDescent="0.25">
      <c r="B16235" s="1"/>
    </row>
    <row r="16236" spans="2:2" x14ac:dyDescent="0.25">
      <c r="B16236" s="1"/>
    </row>
    <row r="16237" spans="2:2" x14ac:dyDescent="0.25">
      <c r="B16237" s="1"/>
    </row>
    <row r="16238" spans="2:2" x14ac:dyDescent="0.25">
      <c r="B16238" s="1"/>
    </row>
    <row r="16239" spans="2:2" x14ac:dyDescent="0.25">
      <c r="B16239" s="1"/>
    </row>
    <row r="16240" spans="2:2" x14ac:dyDescent="0.25">
      <c r="B16240" s="1"/>
    </row>
    <row r="16241" spans="2:2" x14ac:dyDescent="0.25">
      <c r="B16241" s="1"/>
    </row>
    <row r="16242" spans="2:2" x14ac:dyDescent="0.25">
      <c r="B16242" s="1"/>
    </row>
    <row r="16243" spans="2:2" x14ac:dyDescent="0.25">
      <c r="B16243" s="1"/>
    </row>
    <row r="16244" spans="2:2" x14ac:dyDescent="0.25">
      <c r="B16244" s="1"/>
    </row>
    <row r="16245" spans="2:2" x14ac:dyDescent="0.25">
      <c r="B16245" s="1"/>
    </row>
    <row r="16246" spans="2:2" x14ac:dyDescent="0.25">
      <c r="B16246" s="1"/>
    </row>
    <row r="16247" spans="2:2" x14ac:dyDescent="0.25">
      <c r="B16247" s="1"/>
    </row>
    <row r="16248" spans="2:2" x14ac:dyDescent="0.25">
      <c r="B16248" s="1"/>
    </row>
    <row r="16249" spans="2:2" x14ac:dyDescent="0.25">
      <c r="B16249" s="1"/>
    </row>
    <row r="16250" spans="2:2" x14ac:dyDescent="0.25">
      <c r="B16250" s="1"/>
    </row>
    <row r="16251" spans="2:2" x14ac:dyDescent="0.25">
      <c r="B16251" s="1"/>
    </row>
    <row r="16252" spans="2:2" x14ac:dyDescent="0.25">
      <c r="B16252" s="1"/>
    </row>
    <row r="16253" spans="2:2" x14ac:dyDescent="0.25">
      <c r="B16253" s="1"/>
    </row>
    <row r="16254" spans="2:2" x14ac:dyDescent="0.25">
      <c r="B16254" s="1"/>
    </row>
    <row r="16255" spans="2:2" x14ac:dyDescent="0.25">
      <c r="B16255" s="1"/>
    </row>
    <row r="16256" spans="2:2" x14ac:dyDescent="0.25">
      <c r="B16256" s="1"/>
    </row>
    <row r="16257" spans="2:2" x14ac:dyDescent="0.25">
      <c r="B16257" s="1"/>
    </row>
    <row r="16258" spans="2:2" x14ac:dyDescent="0.25">
      <c r="B16258" s="1"/>
    </row>
    <row r="16259" spans="2:2" x14ac:dyDescent="0.25">
      <c r="B16259" s="1"/>
    </row>
    <row r="16260" spans="2:2" x14ac:dyDescent="0.25">
      <c r="B16260" s="1"/>
    </row>
    <row r="16261" spans="2:2" x14ac:dyDescent="0.25">
      <c r="B16261" s="1"/>
    </row>
    <row r="16262" spans="2:2" x14ac:dyDescent="0.25">
      <c r="B16262" s="1"/>
    </row>
    <row r="16263" spans="2:2" x14ac:dyDescent="0.25">
      <c r="B16263" s="1"/>
    </row>
    <row r="16264" spans="2:2" x14ac:dyDescent="0.25">
      <c r="B16264" s="1"/>
    </row>
    <row r="16265" spans="2:2" x14ac:dyDescent="0.25">
      <c r="B16265" s="1"/>
    </row>
    <row r="16266" spans="2:2" x14ac:dyDescent="0.25">
      <c r="B16266" s="1"/>
    </row>
    <row r="16267" spans="2:2" x14ac:dyDescent="0.25">
      <c r="B16267" s="1"/>
    </row>
    <row r="16268" spans="2:2" x14ac:dyDescent="0.25">
      <c r="B16268" s="1"/>
    </row>
    <row r="16269" spans="2:2" x14ac:dyDescent="0.25">
      <c r="B16269" s="1"/>
    </row>
    <row r="16270" spans="2:2" x14ac:dyDescent="0.25">
      <c r="B16270" s="1"/>
    </row>
    <row r="16271" spans="2:2" x14ac:dyDescent="0.25">
      <c r="B16271" s="1"/>
    </row>
    <row r="16272" spans="2:2" x14ac:dyDescent="0.25">
      <c r="B16272" s="1"/>
    </row>
    <row r="16273" spans="2:2" x14ac:dyDescent="0.25">
      <c r="B16273" s="1"/>
    </row>
    <row r="16274" spans="2:2" x14ac:dyDescent="0.25">
      <c r="B16274" s="1"/>
    </row>
    <row r="16275" spans="2:2" x14ac:dyDescent="0.25">
      <c r="B16275" s="1"/>
    </row>
    <row r="16276" spans="2:2" x14ac:dyDescent="0.25">
      <c r="B16276" s="1"/>
    </row>
    <row r="16277" spans="2:2" x14ac:dyDescent="0.25">
      <c r="B16277" s="1"/>
    </row>
    <row r="16278" spans="2:2" x14ac:dyDescent="0.25">
      <c r="B16278" s="1"/>
    </row>
    <row r="16279" spans="2:2" x14ac:dyDescent="0.25">
      <c r="B16279" s="1"/>
    </row>
    <row r="16280" spans="2:2" x14ac:dyDescent="0.25">
      <c r="B16280" s="1"/>
    </row>
    <row r="16281" spans="2:2" x14ac:dyDescent="0.25">
      <c r="B16281" s="1"/>
    </row>
    <row r="16282" spans="2:2" x14ac:dyDescent="0.25">
      <c r="B16282" s="1"/>
    </row>
    <row r="16283" spans="2:2" x14ac:dyDescent="0.25">
      <c r="B16283" s="1"/>
    </row>
    <row r="16284" spans="2:2" x14ac:dyDescent="0.25">
      <c r="B16284" s="1"/>
    </row>
    <row r="16285" spans="2:2" x14ac:dyDescent="0.25">
      <c r="B16285" s="1"/>
    </row>
    <row r="16286" spans="2:2" x14ac:dyDescent="0.25">
      <c r="B16286" s="1"/>
    </row>
    <row r="16287" spans="2:2" x14ac:dyDescent="0.25">
      <c r="B16287" s="1"/>
    </row>
    <row r="16288" spans="2:2" x14ac:dyDescent="0.25">
      <c r="B16288" s="1"/>
    </row>
    <row r="16289" spans="2:2" x14ac:dyDescent="0.25">
      <c r="B16289" s="1"/>
    </row>
    <row r="16290" spans="2:2" x14ac:dyDescent="0.25">
      <c r="B16290" s="1"/>
    </row>
    <row r="16291" spans="2:2" x14ac:dyDescent="0.25">
      <c r="B16291" s="1"/>
    </row>
    <row r="16292" spans="2:2" x14ac:dyDescent="0.25">
      <c r="B16292" s="1"/>
    </row>
    <row r="16293" spans="2:2" x14ac:dyDescent="0.25">
      <c r="B16293" s="1"/>
    </row>
    <row r="16294" spans="2:2" x14ac:dyDescent="0.25">
      <c r="B16294" s="1"/>
    </row>
    <row r="16295" spans="2:2" x14ac:dyDescent="0.25">
      <c r="B16295" s="1"/>
    </row>
    <row r="16296" spans="2:2" x14ac:dyDescent="0.25">
      <c r="B16296" s="1"/>
    </row>
    <row r="16297" spans="2:2" x14ac:dyDescent="0.25">
      <c r="B16297" s="1"/>
    </row>
    <row r="16298" spans="2:2" x14ac:dyDescent="0.25">
      <c r="B16298" s="1"/>
    </row>
    <row r="16299" spans="2:2" x14ac:dyDescent="0.25">
      <c r="B16299" s="1"/>
    </row>
    <row r="16300" spans="2:2" x14ac:dyDescent="0.25">
      <c r="B16300" s="1"/>
    </row>
    <row r="16301" spans="2:2" x14ac:dyDescent="0.25">
      <c r="B16301" s="1"/>
    </row>
    <row r="16302" spans="2:2" x14ac:dyDescent="0.25">
      <c r="B16302" s="1"/>
    </row>
    <row r="16303" spans="2:2" x14ac:dyDescent="0.25">
      <c r="B16303" s="1"/>
    </row>
    <row r="16304" spans="2:2" x14ac:dyDescent="0.25">
      <c r="B16304" s="1"/>
    </row>
    <row r="16305" spans="2:2" x14ac:dyDescent="0.25">
      <c r="B16305" s="1"/>
    </row>
    <row r="16306" spans="2:2" x14ac:dyDescent="0.25">
      <c r="B16306" s="1"/>
    </row>
    <row r="16307" spans="2:2" x14ac:dyDescent="0.25">
      <c r="B16307" s="1"/>
    </row>
    <row r="16308" spans="2:2" x14ac:dyDescent="0.25">
      <c r="B16308" s="1"/>
    </row>
    <row r="16309" spans="2:2" x14ac:dyDescent="0.25">
      <c r="B16309" s="1"/>
    </row>
    <row r="16310" spans="2:2" x14ac:dyDescent="0.25">
      <c r="B16310" s="1"/>
    </row>
    <row r="16311" spans="2:2" x14ac:dyDescent="0.25">
      <c r="B16311" s="1"/>
    </row>
    <row r="16312" spans="2:2" x14ac:dyDescent="0.25">
      <c r="B16312" s="1"/>
    </row>
    <row r="16313" spans="2:2" x14ac:dyDescent="0.25">
      <c r="B16313" s="1"/>
    </row>
    <row r="16314" spans="2:2" x14ac:dyDescent="0.25">
      <c r="B16314" s="1"/>
    </row>
    <row r="16315" spans="2:2" x14ac:dyDescent="0.25">
      <c r="B16315" s="1"/>
    </row>
    <row r="16316" spans="2:2" x14ac:dyDescent="0.25">
      <c r="B16316" s="1"/>
    </row>
    <row r="16317" spans="2:2" x14ac:dyDescent="0.25">
      <c r="B16317" s="1"/>
    </row>
    <row r="16318" spans="2:2" x14ac:dyDescent="0.25">
      <c r="B16318" s="1"/>
    </row>
    <row r="16319" spans="2:2" x14ac:dyDescent="0.25">
      <c r="B16319" s="1"/>
    </row>
    <row r="16320" spans="2:2" x14ac:dyDescent="0.25">
      <c r="B16320" s="1"/>
    </row>
    <row r="16321" spans="2:2" x14ac:dyDescent="0.25">
      <c r="B16321" s="1"/>
    </row>
    <row r="16322" spans="2:2" x14ac:dyDescent="0.25">
      <c r="B16322" s="1"/>
    </row>
    <row r="16323" spans="2:2" x14ac:dyDescent="0.25">
      <c r="B16323" s="1"/>
    </row>
    <row r="16324" spans="2:2" x14ac:dyDescent="0.25">
      <c r="B16324" s="1"/>
    </row>
    <row r="16325" spans="2:2" x14ac:dyDescent="0.25">
      <c r="B16325" s="1"/>
    </row>
    <row r="16326" spans="2:2" x14ac:dyDescent="0.25">
      <c r="B16326" s="1"/>
    </row>
    <row r="16327" spans="2:2" x14ac:dyDescent="0.25">
      <c r="B16327" s="1"/>
    </row>
    <row r="16328" spans="2:2" x14ac:dyDescent="0.25">
      <c r="B16328" s="1"/>
    </row>
    <row r="16329" spans="2:2" x14ac:dyDescent="0.25">
      <c r="B16329" s="1"/>
    </row>
    <row r="16330" spans="2:2" x14ac:dyDescent="0.25">
      <c r="B16330" s="1"/>
    </row>
    <row r="16331" spans="2:2" x14ac:dyDescent="0.25">
      <c r="B16331" s="1"/>
    </row>
    <row r="16332" spans="2:2" x14ac:dyDescent="0.25">
      <c r="B16332" s="1"/>
    </row>
    <row r="16333" spans="2:2" x14ac:dyDescent="0.25">
      <c r="B16333" s="1"/>
    </row>
    <row r="16334" spans="2:2" x14ac:dyDescent="0.25">
      <c r="B16334" s="1"/>
    </row>
    <row r="16335" spans="2:2" x14ac:dyDescent="0.25">
      <c r="B16335" s="1"/>
    </row>
    <row r="16336" spans="2:2" x14ac:dyDescent="0.25">
      <c r="B16336" s="1"/>
    </row>
    <row r="16337" spans="2:2" x14ac:dyDescent="0.25">
      <c r="B16337" s="1"/>
    </row>
    <row r="16338" spans="2:2" x14ac:dyDescent="0.25">
      <c r="B16338" s="1"/>
    </row>
    <row r="16339" spans="2:2" x14ac:dyDescent="0.25">
      <c r="B16339" s="1"/>
    </row>
    <row r="16340" spans="2:2" x14ac:dyDescent="0.25">
      <c r="B16340" s="1"/>
    </row>
    <row r="16341" spans="2:2" x14ac:dyDescent="0.25">
      <c r="B16341" s="1"/>
    </row>
    <row r="16342" spans="2:2" x14ac:dyDescent="0.25">
      <c r="B16342" s="1"/>
    </row>
    <row r="16343" spans="2:2" x14ac:dyDescent="0.25">
      <c r="B16343" s="1"/>
    </row>
    <row r="16344" spans="2:2" x14ac:dyDescent="0.25">
      <c r="B16344" s="1"/>
    </row>
    <row r="16345" spans="2:2" x14ac:dyDescent="0.25">
      <c r="B16345" s="1"/>
    </row>
    <row r="16346" spans="2:2" x14ac:dyDescent="0.25">
      <c r="B16346" s="1"/>
    </row>
    <row r="16347" spans="2:2" x14ac:dyDescent="0.25">
      <c r="B16347" s="1"/>
    </row>
    <row r="16348" spans="2:2" x14ac:dyDescent="0.25">
      <c r="B16348" s="1"/>
    </row>
    <row r="16349" spans="2:2" x14ac:dyDescent="0.25">
      <c r="B16349" s="1"/>
    </row>
    <row r="16350" spans="2:2" x14ac:dyDescent="0.25">
      <c r="B16350" s="1"/>
    </row>
    <row r="16351" spans="2:2" x14ac:dyDescent="0.25">
      <c r="B16351" s="1"/>
    </row>
    <row r="16352" spans="2:2" x14ac:dyDescent="0.25">
      <c r="B16352" s="1"/>
    </row>
    <row r="16353" spans="2:2" x14ac:dyDescent="0.25">
      <c r="B16353" s="1"/>
    </row>
    <row r="16354" spans="2:2" x14ac:dyDescent="0.25">
      <c r="B16354" s="1"/>
    </row>
    <row r="16355" spans="2:2" x14ac:dyDescent="0.25">
      <c r="B16355" s="1"/>
    </row>
    <row r="16356" spans="2:2" x14ac:dyDescent="0.25">
      <c r="B16356" s="1"/>
    </row>
    <row r="16357" spans="2:2" x14ac:dyDescent="0.25">
      <c r="B16357" s="1"/>
    </row>
    <row r="16358" spans="2:2" x14ac:dyDescent="0.25">
      <c r="B16358" s="1"/>
    </row>
    <row r="16359" spans="2:2" x14ac:dyDescent="0.25">
      <c r="B16359" s="1"/>
    </row>
    <row r="16360" spans="2:2" x14ac:dyDescent="0.25">
      <c r="B16360" s="1"/>
    </row>
    <row r="16361" spans="2:2" x14ac:dyDescent="0.25">
      <c r="B16361" s="1"/>
    </row>
    <row r="16362" spans="2:2" x14ac:dyDescent="0.25">
      <c r="B16362" s="1"/>
    </row>
    <row r="16363" spans="2:2" x14ac:dyDescent="0.25">
      <c r="B16363" s="1"/>
    </row>
    <row r="16364" spans="2:2" x14ac:dyDescent="0.25">
      <c r="B16364" s="1"/>
    </row>
    <row r="16365" spans="2:2" x14ac:dyDescent="0.25">
      <c r="B16365" s="1"/>
    </row>
    <row r="16366" spans="2:2" x14ac:dyDescent="0.25">
      <c r="B16366" s="1"/>
    </row>
    <row r="16367" spans="2:2" x14ac:dyDescent="0.25">
      <c r="B16367" s="1"/>
    </row>
    <row r="16368" spans="2:2" x14ac:dyDescent="0.25">
      <c r="B16368" s="1"/>
    </row>
    <row r="16369" spans="2:2" x14ac:dyDescent="0.25">
      <c r="B16369" s="1"/>
    </row>
    <row r="16370" spans="2:2" x14ac:dyDescent="0.25">
      <c r="B16370" s="1"/>
    </row>
    <row r="16371" spans="2:2" x14ac:dyDescent="0.25">
      <c r="B16371" s="1"/>
    </row>
    <row r="16372" spans="2:2" x14ac:dyDescent="0.25">
      <c r="B16372" s="1"/>
    </row>
    <row r="16373" spans="2:2" x14ac:dyDescent="0.25">
      <c r="B16373" s="1"/>
    </row>
    <row r="16374" spans="2:2" x14ac:dyDescent="0.25">
      <c r="B16374" s="1"/>
    </row>
    <row r="16375" spans="2:2" x14ac:dyDescent="0.25">
      <c r="B16375" s="1"/>
    </row>
    <row r="16376" spans="2:2" x14ac:dyDescent="0.25">
      <c r="B16376" s="1"/>
    </row>
    <row r="16377" spans="2:2" x14ac:dyDescent="0.25">
      <c r="B16377" s="1"/>
    </row>
    <row r="16378" spans="2:2" x14ac:dyDescent="0.25">
      <c r="B16378" s="1"/>
    </row>
    <row r="16379" spans="2:2" x14ac:dyDescent="0.25">
      <c r="B16379" s="1"/>
    </row>
    <row r="16380" spans="2:2" x14ac:dyDescent="0.25">
      <c r="B16380" s="1"/>
    </row>
    <row r="16381" spans="2:2" x14ac:dyDescent="0.25">
      <c r="B16381" s="1"/>
    </row>
    <row r="16382" spans="2:2" x14ac:dyDescent="0.25">
      <c r="B16382" s="1"/>
    </row>
    <row r="16383" spans="2:2" x14ac:dyDescent="0.25">
      <c r="B16383" s="1"/>
    </row>
    <row r="16384" spans="2:2" x14ac:dyDescent="0.25">
      <c r="B16384" s="1"/>
    </row>
    <row r="16385" spans="2:2" x14ac:dyDescent="0.25">
      <c r="B16385" s="1"/>
    </row>
    <row r="16386" spans="2:2" x14ac:dyDescent="0.25">
      <c r="B16386" s="1"/>
    </row>
    <row r="16387" spans="2:2" x14ac:dyDescent="0.25">
      <c r="B16387" s="1"/>
    </row>
    <row r="16388" spans="2:2" x14ac:dyDescent="0.25">
      <c r="B16388" s="1"/>
    </row>
    <row r="16389" spans="2:2" x14ac:dyDescent="0.25">
      <c r="B16389" s="1"/>
    </row>
    <row r="16390" spans="2:2" x14ac:dyDescent="0.25">
      <c r="B16390" s="1"/>
    </row>
    <row r="16391" spans="2:2" x14ac:dyDescent="0.25">
      <c r="B16391" s="1"/>
    </row>
    <row r="16392" spans="2:2" x14ac:dyDescent="0.25">
      <c r="B16392" s="1"/>
    </row>
    <row r="16393" spans="2:2" x14ac:dyDescent="0.25">
      <c r="B16393" s="1"/>
    </row>
    <row r="16394" spans="2:2" x14ac:dyDescent="0.25">
      <c r="B16394" s="1"/>
    </row>
    <row r="16395" spans="2:2" x14ac:dyDescent="0.25">
      <c r="B16395" s="1"/>
    </row>
    <row r="16396" spans="2:2" x14ac:dyDescent="0.25">
      <c r="B16396" s="1"/>
    </row>
    <row r="16397" spans="2:2" x14ac:dyDescent="0.25">
      <c r="B16397" s="1"/>
    </row>
    <row r="16398" spans="2:2" x14ac:dyDescent="0.25">
      <c r="B16398" s="1"/>
    </row>
    <row r="16399" spans="2:2" x14ac:dyDescent="0.25">
      <c r="B16399" s="1"/>
    </row>
    <row r="16400" spans="2:2" x14ac:dyDescent="0.25">
      <c r="B16400" s="1"/>
    </row>
    <row r="16401" spans="2:2" x14ac:dyDescent="0.25">
      <c r="B16401" s="1"/>
    </row>
    <row r="16402" spans="2:2" x14ac:dyDescent="0.25">
      <c r="B16402" s="1"/>
    </row>
    <row r="16403" spans="2:2" x14ac:dyDescent="0.25">
      <c r="B16403" s="1"/>
    </row>
    <row r="16404" spans="2:2" x14ac:dyDescent="0.25">
      <c r="B16404" s="1"/>
    </row>
    <row r="16405" spans="2:2" x14ac:dyDescent="0.25">
      <c r="B16405" s="1"/>
    </row>
    <row r="16406" spans="2:2" x14ac:dyDescent="0.25">
      <c r="B16406" s="1"/>
    </row>
    <row r="16407" spans="2:2" x14ac:dyDescent="0.25">
      <c r="B16407" s="1"/>
    </row>
    <row r="16408" spans="2:2" x14ac:dyDescent="0.25">
      <c r="B16408" s="1"/>
    </row>
    <row r="16409" spans="2:2" x14ac:dyDescent="0.25">
      <c r="B16409" s="1"/>
    </row>
    <row r="16410" spans="2:2" x14ac:dyDescent="0.25">
      <c r="B16410" s="1"/>
    </row>
    <row r="16411" spans="2:2" x14ac:dyDescent="0.25">
      <c r="B16411" s="1"/>
    </row>
    <row r="16412" spans="2:2" x14ac:dyDescent="0.25">
      <c r="B16412" s="1"/>
    </row>
    <row r="16413" spans="2:2" x14ac:dyDescent="0.25">
      <c r="B16413" s="1"/>
    </row>
    <row r="16414" spans="2:2" x14ac:dyDescent="0.25">
      <c r="B16414" s="1"/>
    </row>
    <row r="16415" spans="2:2" x14ac:dyDescent="0.25">
      <c r="B16415" s="1"/>
    </row>
    <row r="16416" spans="2:2" x14ac:dyDescent="0.25">
      <c r="B16416" s="1"/>
    </row>
    <row r="16417" spans="2:2" x14ac:dyDescent="0.25">
      <c r="B16417" s="1"/>
    </row>
    <row r="16418" spans="2:2" x14ac:dyDescent="0.25">
      <c r="B16418" s="1"/>
    </row>
    <row r="16419" spans="2:2" x14ac:dyDescent="0.25">
      <c r="B16419" s="1"/>
    </row>
    <row r="16420" spans="2:2" x14ac:dyDescent="0.25">
      <c r="B16420" s="1"/>
    </row>
    <row r="16421" spans="2:2" x14ac:dyDescent="0.25">
      <c r="B16421" s="1"/>
    </row>
    <row r="16422" spans="2:2" x14ac:dyDescent="0.25">
      <c r="B16422" s="1"/>
    </row>
    <row r="16423" spans="2:2" x14ac:dyDescent="0.25">
      <c r="B16423" s="1"/>
    </row>
    <row r="16424" spans="2:2" x14ac:dyDescent="0.25">
      <c r="B16424" s="1"/>
    </row>
    <row r="16425" spans="2:2" x14ac:dyDescent="0.25">
      <c r="B16425" s="1"/>
    </row>
    <row r="16426" spans="2:2" x14ac:dyDescent="0.25">
      <c r="B16426" s="1"/>
    </row>
    <row r="16427" spans="2:2" x14ac:dyDescent="0.25">
      <c r="B16427" s="1"/>
    </row>
    <row r="16428" spans="2:2" x14ac:dyDescent="0.25">
      <c r="B16428" s="1"/>
    </row>
    <row r="16429" spans="2:2" x14ac:dyDescent="0.25">
      <c r="B16429" s="1"/>
    </row>
    <row r="16430" spans="2:2" x14ac:dyDescent="0.25">
      <c r="B16430" s="1"/>
    </row>
    <row r="16431" spans="2:2" x14ac:dyDescent="0.25">
      <c r="B16431" s="1"/>
    </row>
    <row r="16432" spans="2:2" x14ac:dyDescent="0.25">
      <c r="B16432" s="1"/>
    </row>
    <row r="16433" spans="2:2" x14ac:dyDescent="0.25">
      <c r="B16433" s="1"/>
    </row>
    <row r="16434" spans="2:2" x14ac:dyDescent="0.25">
      <c r="B16434" s="1"/>
    </row>
    <row r="16435" spans="2:2" x14ac:dyDescent="0.25">
      <c r="B16435" s="1"/>
    </row>
    <row r="16436" spans="2:2" x14ac:dyDescent="0.25">
      <c r="B16436" s="1"/>
    </row>
    <row r="16437" spans="2:2" x14ac:dyDescent="0.25">
      <c r="B16437" s="1"/>
    </row>
    <row r="16438" spans="2:2" x14ac:dyDescent="0.25">
      <c r="B16438" s="1"/>
    </row>
    <row r="16439" spans="2:2" x14ac:dyDescent="0.25">
      <c r="B16439" s="1"/>
    </row>
    <row r="16440" spans="2:2" x14ac:dyDescent="0.25">
      <c r="B16440" s="1"/>
    </row>
    <row r="16441" spans="2:2" x14ac:dyDescent="0.25">
      <c r="B16441" s="1"/>
    </row>
    <row r="16442" spans="2:2" x14ac:dyDescent="0.25">
      <c r="B16442" s="1"/>
    </row>
    <row r="16443" spans="2:2" x14ac:dyDescent="0.25">
      <c r="B16443" s="1"/>
    </row>
    <row r="16444" spans="2:2" x14ac:dyDescent="0.25">
      <c r="B16444" s="1"/>
    </row>
    <row r="16445" spans="2:2" x14ac:dyDescent="0.25">
      <c r="B16445" s="1"/>
    </row>
    <row r="16446" spans="2:2" x14ac:dyDescent="0.25">
      <c r="B16446" s="1"/>
    </row>
    <row r="16447" spans="2:2" x14ac:dyDescent="0.25">
      <c r="B16447" s="1"/>
    </row>
    <row r="16448" spans="2:2" x14ac:dyDescent="0.25">
      <c r="B16448" s="1"/>
    </row>
    <row r="16449" spans="2:2" x14ac:dyDescent="0.25">
      <c r="B16449" s="1"/>
    </row>
    <row r="16450" spans="2:2" x14ac:dyDescent="0.25">
      <c r="B16450" s="1"/>
    </row>
    <row r="16451" spans="2:2" x14ac:dyDescent="0.25">
      <c r="B16451" s="1"/>
    </row>
    <row r="16452" spans="2:2" x14ac:dyDescent="0.25">
      <c r="B16452" s="1"/>
    </row>
    <row r="16453" spans="2:2" x14ac:dyDescent="0.25">
      <c r="B16453" s="1"/>
    </row>
    <row r="16454" spans="2:2" x14ac:dyDescent="0.25">
      <c r="B16454" s="1"/>
    </row>
    <row r="16455" spans="2:2" x14ac:dyDescent="0.25">
      <c r="B16455" s="1"/>
    </row>
    <row r="16456" spans="2:2" x14ac:dyDescent="0.25">
      <c r="B16456" s="1"/>
    </row>
    <row r="16457" spans="2:2" x14ac:dyDescent="0.25">
      <c r="B16457" s="1"/>
    </row>
    <row r="16458" spans="2:2" x14ac:dyDescent="0.25">
      <c r="B16458" s="1"/>
    </row>
    <row r="16459" spans="2:2" x14ac:dyDescent="0.25">
      <c r="B16459" s="1"/>
    </row>
    <row r="16460" spans="2:2" x14ac:dyDescent="0.25">
      <c r="B16460" s="1"/>
    </row>
    <row r="16461" spans="2:2" x14ac:dyDescent="0.25">
      <c r="B16461" s="1"/>
    </row>
    <row r="16462" spans="2:2" x14ac:dyDescent="0.25">
      <c r="B16462" s="1"/>
    </row>
    <row r="16463" spans="2:2" x14ac:dyDescent="0.25">
      <c r="B16463" s="1"/>
    </row>
    <row r="16464" spans="2:2" x14ac:dyDescent="0.25">
      <c r="B16464" s="1"/>
    </row>
    <row r="16465" spans="2:2" x14ac:dyDescent="0.25">
      <c r="B16465" s="1"/>
    </row>
    <row r="16466" spans="2:2" x14ac:dyDescent="0.25">
      <c r="B16466" s="1"/>
    </row>
    <row r="16467" spans="2:2" x14ac:dyDescent="0.25">
      <c r="B16467" s="1"/>
    </row>
    <row r="16468" spans="2:2" x14ac:dyDescent="0.25">
      <c r="B16468" s="1"/>
    </row>
    <row r="16469" spans="2:2" x14ac:dyDescent="0.25">
      <c r="B16469" s="1"/>
    </row>
    <row r="16470" spans="2:2" x14ac:dyDescent="0.25">
      <c r="B16470" s="1"/>
    </row>
    <row r="16471" spans="2:2" x14ac:dyDescent="0.25">
      <c r="B16471" s="1"/>
    </row>
    <row r="16472" spans="2:2" x14ac:dyDescent="0.25">
      <c r="B16472" s="1"/>
    </row>
    <row r="16473" spans="2:2" x14ac:dyDescent="0.25">
      <c r="B16473" s="1"/>
    </row>
    <row r="16474" spans="2:2" x14ac:dyDescent="0.25">
      <c r="B16474" s="1"/>
    </row>
    <row r="16475" spans="2:2" x14ac:dyDescent="0.25">
      <c r="B16475" s="1"/>
    </row>
    <row r="16476" spans="2:2" x14ac:dyDescent="0.25">
      <c r="B16476" s="1"/>
    </row>
    <row r="16477" spans="2:2" x14ac:dyDescent="0.25">
      <c r="B16477" s="1"/>
    </row>
    <row r="16478" spans="2:2" x14ac:dyDescent="0.25">
      <c r="B16478" s="1"/>
    </row>
    <row r="16479" spans="2:2" x14ac:dyDescent="0.25">
      <c r="B16479" s="1"/>
    </row>
    <row r="16480" spans="2:2" x14ac:dyDescent="0.25">
      <c r="B16480" s="1"/>
    </row>
    <row r="16481" spans="2:2" x14ac:dyDescent="0.25">
      <c r="B16481" s="1"/>
    </row>
    <row r="16482" spans="2:2" x14ac:dyDescent="0.25">
      <c r="B16482" s="1"/>
    </row>
    <row r="16483" spans="2:2" x14ac:dyDescent="0.25">
      <c r="B16483" s="1"/>
    </row>
    <row r="16484" spans="2:2" x14ac:dyDescent="0.25">
      <c r="B16484" s="1"/>
    </row>
    <row r="16485" spans="2:2" x14ac:dyDescent="0.25">
      <c r="B16485" s="1"/>
    </row>
    <row r="16486" spans="2:2" x14ac:dyDescent="0.25">
      <c r="B16486" s="1"/>
    </row>
    <row r="16487" spans="2:2" x14ac:dyDescent="0.25">
      <c r="B16487" s="1"/>
    </row>
    <row r="16488" spans="2:2" x14ac:dyDescent="0.25">
      <c r="B16488" s="1"/>
    </row>
    <row r="16489" spans="2:2" x14ac:dyDescent="0.25">
      <c r="B16489" s="1"/>
    </row>
    <row r="16490" spans="2:2" x14ac:dyDescent="0.25">
      <c r="B16490" s="1"/>
    </row>
    <row r="16491" spans="2:2" x14ac:dyDescent="0.25">
      <c r="B16491" s="1"/>
    </row>
    <row r="16492" spans="2:2" x14ac:dyDescent="0.25">
      <c r="B16492" s="1"/>
    </row>
    <row r="16493" spans="2:2" x14ac:dyDescent="0.25">
      <c r="B16493" s="1"/>
    </row>
    <row r="16494" spans="2:2" x14ac:dyDescent="0.25">
      <c r="B16494" s="1"/>
    </row>
    <row r="16495" spans="2:2" x14ac:dyDescent="0.25">
      <c r="B16495" s="1"/>
    </row>
    <row r="16496" spans="2:2" x14ac:dyDescent="0.25">
      <c r="B16496" s="1"/>
    </row>
    <row r="16497" spans="2:2" x14ac:dyDescent="0.25">
      <c r="B16497" s="1"/>
    </row>
    <row r="16498" spans="2:2" x14ac:dyDescent="0.25">
      <c r="B16498" s="1"/>
    </row>
    <row r="16499" spans="2:2" x14ac:dyDescent="0.25">
      <c r="B16499" s="1"/>
    </row>
    <row r="16500" spans="2:2" x14ac:dyDescent="0.25">
      <c r="B16500" s="1"/>
    </row>
    <row r="16501" spans="2:2" x14ac:dyDescent="0.25">
      <c r="B16501" s="1"/>
    </row>
    <row r="16502" spans="2:2" x14ac:dyDescent="0.25">
      <c r="B16502" s="1"/>
    </row>
    <row r="16503" spans="2:2" x14ac:dyDescent="0.25">
      <c r="B16503" s="1"/>
    </row>
    <row r="16504" spans="2:2" x14ac:dyDescent="0.25">
      <c r="B16504" s="1"/>
    </row>
    <row r="16505" spans="2:2" x14ac:dyDescent="0.25">
      <c r="B16505" s="1"/>
    </row>
    <row r="16506" spans="2:2" x14ac:dyDescent="0.25">
      <c r="B16506" s="1"/>
    </row>
    <row r="16507" spans="2:2" x14ac:dyDescent="0.25">
      <c r="B16507" s="1"/>
    </row>
    <row r="16508" spans="2:2" x14ac:dyDescent="0.25">
      <c r="B16508" s="1"/>
    </row>
    <row r="16509" spans="2:2" x14ac:dyDescent="0.25">
      <c r="B16509" s="1"/>
    </row>
    <row r="16510" spans="2:2" x14ac:dyDescent="0.25">
      <c r="B16510" s="1"/>
    </row>
    <row r="16511" spans="2:2" x14ac:dyDescent="0.25">
      <c r="B16511" s="1"/>
    </row>
    <row r="16512" spans="2:2" x14ac:dyDescent="0.25">
      <c r="B16512" s="1"/>
    </row>
    <row r="16513" spans="2:2" x14ac:dyDescent="0.25">
      <c r="B16513" s="1"/>
    </row>
    <row r="16514" spans="2:2" x14ac:dyDescent="0.25">
      <c r="B16514" s="1"/>
    </row>
    <row r="16515" spans="2:2" x14ac:dyDescent="0.25">
      <c r="B16515" s="1"/>
    </row>
    <row r="16516" spans="2:2" x14ac:dyDescent="0.25">
      <c r="B16516" s="1"/>
    </row>
    <row r="16517" spans="2:2" x14ac:dyDescent="0.25">
      <c r="B16517" s="1"/>
    </row>
    <row r="16518" spans="2:2" x14ac:dyDescent="0.25">
      <c r="B16518" s="1"/>
    </row>
    <row r="16519" spans="2:2" x14ac:dyDescent="0.25">
      <c r="B16519" s="1"/>
    </row>
    <row r="16520" spans="2:2" x14ac:dyDescent="0.25">
      <c r="B16520" s="1"/>
    </row>
    <row r="16521" spans="2:2" x14ac:dyDescent="0.25">
      <c r="B16521" s="1"/>
    </row>
    <row r="16522" spans="2:2" x14ac:dyDescent="0.25">
      <c r="B16522" s="1"/>
    </row>
    <row r="16523" spans="2:2" x14ac:dyDescent="0.25">
      <c r="B16523" s="1"/>
    </row>
    <row r="16524" spans="2:2" x14ac:dyDescent="0.25">
      <c r="B16524" s="1"/>
    </row>
    <row r="16525" spans="2:2" x14ac:dyDescent="0.25">
      <c r="B16525" s="1"/>
    </row>
    <row r="16526" spans="2:2" x14ac:dyDescent="0.25">
      <c r="B16526" s="1"/>
    </row>
    <row r="16527" spans="2:2" x14ac:dyDescent="0.25">
      <c r="B16527" s="1"/>
    </row>
    <row r="16528" spans="2:2" x14ac:dyDescent="0.25">
      <c r="B16528" s="1"/>
    </row>
    <row r="16529" spans="2:2" x14ac:dyDescent="0.25">
      <c r="B16529" s="1"/>
    </row>
    <row r="16530" spans="2:2" x14ac:dyDescent="0.25">
      <c r="B16530" s="1"/>
    </row>
    <row r="16531" spans="2:2" x14ac:dyDescent="0.25">
      <c r="B16531" s="1"/>
    </row>
    <row r="16532" spans="2:2" x14ac:dyDescent="0.25">
      <c r="B16532" s="1"/>
    </row>
    <row r="16533" spans="2:2" x14ac:dyDescent="0.25">
      <c r="B16533" s="1"/>
    </row>
    <row r="16534" spans="2:2" x14ac:dyDescent="0.25">
      <c r="B16534" s="1"/>
    </row>
    <row r="16535" spans="2:2" x14ac:dyDescent="0.25">
      <c r="B16535" s="1"/>
    </row>
    <row r="16536" spans="2:2" x14ac:dyDescent="0.25">
      <c r="B16536" s="1"/>
    </row>
    <row r="16537" spans="2:2" x14ac:dyDescent="0.25">
      <c r="B16537" s="1"/>
    </row>
    <row r="16538" spans="2:2" x14ac:dyDescent="0.25">
      <c r="B16538" s="1"/>
    </row>
    <row r="16539" spans="2:2" x14ac:dyDescent="0.25">
      <c r="B16539" s="1"/>
    </row>
    <row r="16540" spans="2:2" x14ac:dyDescent="0.25">
      <c r="B16540" s="1"/>
    </row>
    <row r="16541" spans="2:2" x14ac:dyDescent="0.25">
      <c r="B16541" s="1"/>
    </row>
    <row r="16542" spans="2:2" x14ac:dyDescent="0.25">
      <c r="B16542" s="1"/>
    </row>
    <row r="16543" spans="2:2" x14ac:dyDescent="0.25">
      <c r="B16543" s="1"/>
    </row>
    <row r="16544" spans="2:2" x14ac:dyDescent="0.25">
      <c r="B16544" s="1"/>
    </row>
    <row r="16545" spans="2:2" x14ac:dyDescent="0.25">
      <c r="B16545" s="1"/>
    </row>
    <row r="16546" spans="2:2" x14ac:dyDescent="0.25">
      <c r="B16546" s="1"/>
    </row>
    <row r="16547" spans="2:2" x14ac:dyDescent="0.25">
      <c r="B16547" s="1"/>
    </row>
    <row r="16548" spans="2:2" x14ac:dyDescent="0.25">
      <c r="B16548" s="1"/>
    </row>
    <row r="16549" spans="2:2" x14ac:dyDescent="0.25">
      <c r="B16549" s="1"/>
    </row>
    <row r="16550" spans="2:2" x14ac:dyDescent="0.25">
      <c r="B16550" s="1"/>
    </row>
    <row r="16551" spans="2:2" x14ac:dyDescent="0.25">
      <c r="B16551" s="1"/>
    </row>
    <row r="16552" spans="2:2" x14ac:dyDescent="0.25">
      <c r="B16552" s="1"/>
    </row>
    <row r="16553" spans="2:2" x14ac:dyDescent="0.25">
      <c r="B16553" s="1"/>
    </row>
    <row r="16554" spans="2:2" x14ac:dyDescent="0.25">
      <c r="B16554" s="1"/>
    </row>
    <row r="16555" spans="2:2" x14ac:dyDescent="0.25">
      <c r="B16555" s="1"/>
    </row>
    <row r="16556" spans="2:2" x14ac:dyDescent="0.25">
      <c r="B16556" s="1"/>
    </row>
    <row r="16557" spans="2:2" x14ac:dyDescent="0.25">
      <c r="B16557" s="1"/>
    </row>
    <row r="16558" spans="2:2" x14ac:dyDescent="0.25">
      <c r="B16558" s="1"/>
    </row>
    <row r="16559" spans="2:2" x14ac:dyDescent="0.25">
      <c r="B16559" s="1"/>
    </row>
    <row r="16560" spans="2:2" x14ac:dyDescent="0.25">
      <c r="B16560" s="1"/>
    </row>
    <row r="16561" spans="2:2" x14ac:dyDescent="0.25">
      <c r="B16561" s="1"/>
    </row>
    <row r="16562" spans="2:2" x14ac:dyDescent="0.25">
      <c r="B16562" s="1"/>
    </row>
    <row r="16563" spans="2:2" x14ac:dyDescent="0.25">
      <c r="B16563" s="1"/>
    </row>
    <row r="16564" spans="2:2" x14ac:dyDescent="0.25">
      <c r="B16564" s="1"/>
    </row>
    <row r="16565" spans="2:2" x14ac:dyDescent="0.25">
      <c r="B16565" s="1"/>
    </row>
    <row r="16566" spans="2:2" x14ac:dyDescent="0.25">
      <c r="B16566" s="1"/>
    </row>
    <row r="16567" spans="2:2" x14ac:dyDescent="0.25">
      <c r="B16567" s="1"/>
    </row>
    <row r="16568" spans="2:2" x14ac:dyDescent="0.25">
      <c r="B16568" s="1"/>
    </row>
    <row r="16569" spans="2:2" x14ac:dyDescent="0.25">
      <c r="B16569" s="1"/>
    </row>
    <row r="16570" spans="2:2" x14ac:dyDescent="0.25">
      <c r="B16570" s="1"/>
    </row>
    <row r="16571" spans="2:2" x14ac:dyDescent="0.25">
      <c r="B16571" s="1"/>
    </row>
    <row r="16572" spans="2:2" x14ac:dyDescent="0.25">
      <c r="B16572" s="1"/>
    </row>
    <row r="16573" spans="2:2" x14ac:dyDescent="0.25">
      <c r="B16573" s="1"/>
    </row>
    <row r="16574" spans="2:2" x14ac:dyDescent="0.25">
      <c r="B16574" s="1"/>
    </row>
    <row r="16575" spans="2:2" x14ac:dyDescent="0.25">
      <c r="B16575" s="1"/>
    </row>
    <row r="16576" spans="2:2" x14ac:dyDescent="0.25">
      <c r="B16576" s="1"/>
    </row>
    <row r="16577" spans="2:2" x14ac:dyDescent="0.25">
      <c r="B16577" s="1"/>
    </row>
    <row r="16578" spans="2:2" x14ac:dyDescent="0.25">
      <c r="B16578" s="1"/>
    </row>
    <row r="16579" spans="2:2" x14ac:dyDescent="0.25">
      <c r="B16579" s="1"/>
    </row>
    <row r="16580" spans="2:2" x14ac:dyDescent="0.25">
      <c r="B16580" s="1"/>
    </row>
    <row r="16581" spans="2:2" x14ac:dyDescent="0.25">
      <c r="B16581" s="1"/>
    </row>
    <row r="16582" spans="2:2" x14ac:dyDescent="0.25">
      <c r="B16582" s="1"/>
    </row>
    <row r="16583" spans="2:2" x14ac:dyDescent="0.25">
      <c r="B16583" s="1"/>
    </row>
    <row r="16584" spans="2:2" x14ac:dyDescent="0.25">
      <c r="B16584" s="1"/>
    </row>
    <row r="16585" spans="2:2" x14ac:dyDescent="0.25">
      <c r="B16585" s="1"/>
    </row>
    <row r="16586" spans="2:2" x14ac:dyDescent="0.25">
      <c r="B16586" s="1"/>
    </row>
    <row r="16587" spans="2:2" x14ac:dyDescent="0.25">
      <c r="B16587" s="1"/>
    </row>
    <row r="16588" spans="2:2" x14ac:dyDescent="0.25">
      <c r="B16588" s="1"/>
    </row>
    <row r="16589" spans="2:2" x14ac:dyDescent="0.25">
      <c r="B16589" s="1"/>
    </row>
    <row r="16590" spans="2:2" x14ac:dyDescent="0.25">
      <c r="B16590" s="1"/>
    </row>
    <row r="16591" spans="2:2" x14ac:dyDescent="0.25">
      <c r="B16591" s="1"/>
    </row>
    <row r="16592" spans="2:2" x14ac:dyDescent="0.25">
      <c r="B16592" s="1"/>
    </row>
    <row r="16593" spans="2:2" x14ac:dyDescent="0.25">
      <c r="B16593" s="1"/>
    </row>
    <row r="16594" spans="2:2" x14ac:dyDescent="0.25">
      <c r="B16594" s="1"/>
    </row>
    <row r="16595" spans="2:2" x14ac:dyDescent="0.25">
      <c r="B16595" s="1"/>
    </row>
    <row r="16596" spans="2:2" x14ac:dyDescent="0.25">
      <c r="B16596" s="1"/>
    </row>
    <row r="16597" spans="2:2" x14ac:dyDescent="0.25">
      <c r="B16597" s="1"/>
    </row>
    <row r="16598" spans="2:2" x14ac:dyDescent="0.25">
      <c r="B16598" s="1"/>
    </row>
    <row r="16599" spans="2:2" x14ac:dyDescent="0.25">
      <c r="B16599" s="1"/>
    </row>
    <row r="16600" spans="2:2" x14ac:dyDescent="0.25">
      <c r="B16600" s="1"/>
    </row>
    <row r="16601" spans="2:2" x14ac:dyDescent="0.25">
      <c r="B16601" s="1"/>
    </row>
    <row r="16602" spans="2:2" x14ac:dyDescent="0.25">
      <c r="B16602" s="1"/>
    </row>
    <row r="16603" spans="2:2" x14ac:dyDescent="0.25">
      <c r="B16603" s="1"/>
    </row>
    <row r="16604" spans="2:2" x14ac:dyDescent="0.25">
      <c r="B16604" s="1"/>
    </row>
    <row r="16605" spans="2:2" x14ac:dyDescent="0.25">
      <c r="B16605" s="1"/>
    </row>
    <row r="16606" spans="2:2" x14ac:dyDescent="0.25">
      <c r="B16606" s="1"/>
    </row>
    <row r="16607" spans="2:2" x14ac:dyDescent="0.25">
      <c r="B16607" s="1"/>
    </row>
    <row r="16608" spans="2:2" x14ac:dyDescent="0.25">
      <c r="B16608" s="1"/>
    </row>
    <row r="16609" spans="2:2" x14ac:dyDescent="0.25">
      <c r="B16609" s="1"/>
    </row>
    <row r="16610" spans="2:2" x14ac:dyDescent="0.25">
      <c r="B16610" s="1"/>
    </row>
    <row r="16611" spans="2:2" x14ac:dyDescent="0.25">
      <c r="B16611" s="1"/>
    </row>
    <row r="16612" spans="2:2" x14ac:dyDescent="0.25">
      <c r="B16612" s="1"/>
    </row>
    <row r="16613" spans="2:2" x14ac:dyDescent="0.25">
      <c r="B16613" s="1"/>
    </row>
    <row r="16614" spans="2:2" x14ac:dyDescent="0.25">
      <c r="B16614" s="1"/>
    </row>
    <row r="16615" spans="2:2" x14ac:dyDescent="0.25">
      <c r="B16615" s="1"/>
    </row>
    <row r="16616" spans="2:2" x14ac:dyDescent="0.25">
      <c r="B16616" s="1"/>
    </row>
    <row r="16617" spans="2:2" x14ac:dyDescent="0.25">
      <c r="B16617" s="1"/>
    </row>
    <row r="16618" spans="2:2" x14ac:dyDescent="0.25">
      <c r="B16618" s="1"/>
    </row>
    <row r="16619" spans="2:2" x14ac:dyDescent="0.25">
      <c r="B16619" s="1"/>
    </row>
    <row r="16620" spans="2:2" x14ac:dyDescent="0.25">
      <c r="B16620" s="1"/>
    </row>
    <row r="16621" spans="2:2" x14ac:dyDescent="0.25">
      <c r="B16621" s="1"/>
    </row>
    <row r="16622" spans="2:2" x14ac:dyDescent="0.25">
      <c r="B16622" s="1"/>
    </row>
    <row r="16623" spans="2:2" x14ac:dyDescent="0.25">
      <c r="B16623" s="1"/>
    </row>
    <row r="16624" spans="2:2" x14ac:dyDescent="0.25">
      <c r="B16624" s="1"/>
    </row>
    <row r="16625" spans="2:2" x14ac:dyDescent="0.25">
      <c r="B16625" s="1"/>
    </row>
    <row r="16626" spans="2:2" x14ac:dyDescent="0.25">
      <c r="B16626" s="1"/>
    </row>
    <row r="16627" spans="2:2" x14ac:dyDescent="0.25">
      <c r="B16627" s="1"/>
    </row>
    <row r="16628" spans="2:2" x14ac:dyDescent="0.25">
      <c r="B16628" s="1"/>
    </row>
    <row r="16629" spans="2:2" x14ac:dyDescent="0.25">
      <c r="B16629" s="1"/>
    </row>
    <row r="16630" spans="2:2" x14ac:dyDescent="0.25">
      <c r="B16630" s="1"/>
    </row>
    <row r="16631" spans="2:2" x14ac:dyDescent="0.25">
      <c r="B16631" s="1"/>
    </row>
    <row r="16632" spans="2:2" x14ac:dyDescent="0.25">
      <c r="B16632" s="1"/>
    </row>
    <row r="16633" spans="2:2" x14ac:dyDescent="0.25">
      <c r="B16633" s="1"/>
    </row>
    <row r="16634" spans="2:2" x14ac:dyDescent="0.25">
      <c r="B16634" s="1"/>
    </row>
    <row r="16635" spans="2:2" x14ac:dyDescent="0.25">
      <c r="B16635" s="1"/>
    </row>
    <row r="16636" spans="2:2" x14ac:dyDescent="0.25">
      <c r="B16636" s="1"/>
    </row>
    <row r="16637" spans="2:2" x14ac:dyDescent="0.25">
      <c r="B16637" s="1"/>
    </row>
    <row r="16638" spans="2:2" x14ac:dyDescent="0.25">
      <c r="B16638" s="1"/>
    </row>
    <row r="16639" spans="2:2" x14ac:dyDescent="0.25">
      <c r="B16639" s="1"/>
    </row>
    <row r="16640" spans="2:2" x14ac:dyDescent="0.25">
      <c r="B16640" s="1"/>
    </row>
    <row r="16641" spans="2:2" x14ac:dyDescent="0.25">
      <c r="B16641" s="1"/>
    </row>
    <row r="16642" spans="2:2" x14ac:dyDescent="0.25">
      <c r="B16642" s="1"/>
    </row>
    <row r="16643" spans="2:2" x14ac:dyDescent="0.25">
      <c r="B16643" s="1"/>
    </row>
    <row r="16644" spans="2:2" x14ac:dyDescent="0.25">
      <c r="B16644" s="1"/>
    </row>
    <row r="16645" spans="2:2" x14ac:dyDescent="0.25">
      <c r="B16645" s="1"/>
    </row>
    <row r="16646" spans="2:2" x14ac:dyDescent="0.25">
      <c r="B16646" s="1"/>
    </row>
    <row r="16647" spans="2:2" x14ac:dyDescent="0.25">
      <c r="B16647" s="1"/>
    </row>
    <row r="16648" spans="2:2" x14ac:dyDescent="0.25">
      <c r="B16648" s="1"/>
    </row>
    <row r="16649" spans="2:2" x14ac:dyDescent="0.25">
      <c r="B16649" s="1"/>
    </row>
    <row r="16650" spans="2:2" x14ac:dyDescent="0.25">
      <c r="B16650" s="1"/>
    </row>
    <row r="16651" spans="2:2" x14ac:dyDescent="0.25">
      <c r="B16651" s="1"/>
    </row>
    <row r="16652" spans="2:2" x14ac:dyDescent="0.25">
      <c r="B16652" s="1"/>
    </row>
    <row r="16653" spans="2:2" x14ac:dyDescent="0.25">
      <c r="B16653" s="1"/>
    </row>
    <row r="16654" spans="2:2" x14ac:dyDescent="0.25">
      <c r="B16654" s="1"/>
    </row>
    <row r="16655" spans="2:2" x14ac:dyDescent="0.25">
      <c r="B16655" s="1"/>
    </row>
    <row r="16656" spans="2:2" x14ac:dyDescent="0.25">
      <c r="B16656" s="1"/>
    </row>
    <row r="16657" spans="2:2" x14ac:dyDescent="0.25">
      <c r="B16657" s="1"/>
    </row>
    <row r="16658" spans="2:2" x14ac:dyDescent="0.25">
      <c r="B16658" s="1"/>
    </row>
    <row r="16659" spans="2:2" x14ac:dyDescent="0.25">
      <c r="B16659" s="1"/>
    </row>
    <row r="16660" spans="2:2" x14ac:dyDescent="0.25">
      <c r="B16660" s="1"/>
    </row>
    <row r="16661" spans="2:2" x14ac:dyDescent="0.25">
      <c r="B16661" s="1"/>
    </row>
    <row r="16662" spans="2:2" x14ac:dyDescent="0.25">
      <c r="B16662" s="1"/>
    </row>
    <row r="16663" spans="2:2" x14ac:dyDescent="0.25">
      <c r="B16663" s="1"/>
    </row>
    <row r="16664" spans="2:2" x14ac:dyDescent="0.25">
      <c r="B16664" s="1"/>
    </row>
    <row r="16665" spans="2:2" x14ac:dyDescent="0.25">
      <c r="B16665" s="1"/>
    </row>
    <row r="16666" spans="2:2" x14ac:dyDescent="0.25">
      <c r="B16666" s="1"/>
    </row>
    <row r="16667" spans="2:2" x14ac:dyDescent="0.25">
      <c r="B16667" s="1"/>
    </row>
    <row r="16668" spans="2:2" x14ac:dyDescent="0.25">
      <c r="B16668" s="1"/>
    </row>
    <row r="16669" spans="2:2" x14ac:dyDescent="0.25">
      <c r="B16669" s="1"/>
    </row>
    <row r="16670" spans="2:2" x14ac:dyDescent="0.25">
      <c r="B16670" s="1"/>
    </row>
    <row r="16671" spans="2:2" x14ac:dyDescent="0.25">
      <c r="B16671" s="1"/>
    </row>
    <row r="16672" spans="2:2" x14ac:dyDescent="0.25">
      <c r="B16672" s="1"/>
    </row>
    <row r="16673" spans="2:2" x14ac:dyDescent="0.25">
      <c r="B16673" s="1"/>
    </row>
    <row r="16674" spans="2:2" x14ac:dyDescent="0.25">
      <c r="B16674" s="1"/>
    </row>
    <row r="16675" spans="2:2" x14ac:dyDescent="0.25">
      <c r="B16675" s="1"/>
    </row>
    <row r="16676" spans="2:2" x14ac:dyDescent="0.25">
      <c r="B16676" s="1"/>
    </row>
    <row r="16677" spans="2:2" x14ac:dyDescent="0.25">
      <c r="B16677" s="1"/>
    </row>
    <row r="16678" spans="2:2" x14ac:dyDescent="0.25">
      <c r="B16678" s="1"/>
    </row>
    <row r="16679" spans="2:2" x14ac:dyDescent="0.25">
      <c r="B16679" s="1"/>
    </row>
    <row r="16680" spans="2:2" x14ac:dyDescent="0.25">
      <c r="B16680" s="1"/>
    </row>
    <row r="16681" spans="2:2" x14ac:dyDescent="0.25">
      <c r="B16681" s="1"/>
    </row>
    <row r="16682" spans="2:2" x14ac:dyDescent="0.25">
      <c r="B16682" s="1"/>
    </row>
    <row r="16683" spans="2:2" x14ac:dyDescent="0.25">
      <c r="B16683" s="1"/>
    </row>
    <row r="16684" spans="2:2" x14ac:dyDescent="0.25">
      <c r="B16684" s="1"/>
    </row>
    <row r="16685" spans="2:2" x14ac:dyDescent="0.25">
      <c r="B16685" s="1"/>
    </row>
    <row r="16686" spans="2:2" x14ac:dyDescent="0.25">
      <c r="B16686" s="1"/>
    </row>
    <row r="16687" spans="2:2" x14ac:dyDescent="0.25">
      <c r="B16687" s="1"/>
    </row>
    <row r="16688" spans="2:2" x14ac:dyDescent="0.25">
      <c r="B16688" s="1"/>
    </row>
    <row r="16689" spans="2:2" x14ac:dyDescent="0.25">
      <c r="B16689" s="1"/>
    </row>
    <row r="16690" spans="2:2" x14ac:dyDescent="0.25">
      <c r="B16690" s="1"/>
    </row>
    <row r="16691" spans="2:2" x14ac:dyDescent="0.25">
      <c r="B16691" s="1"/>
    </row>
    <row r="16692" spans="2:2" x14ac:dyDescent="0.25">
      <c r="B16692" s="1"/>
    </row>
    <row r="16693" spans="2:2" x14ac:dyDescent="0.25">
      <c r="B16693" s="1"/>
    </row>
    <row r="16694" spans="2:2" x14ac:dyDescent="0.25">
      <c r="B16694" s="1"/>
    </row>
    <row r="16695" spans="2:2" x14ac:dyDescent="0.25">
      <c r="B16695" s="1"/>
    </row>
    <row r="16696" spans="2:2" x14ac:dyDescent="0.25">
      <c r="B16696" s="1"/>
    </row>
    <row r="16697" spans="2:2" x14ac:dyDescent="0.25">
      <c r="B16697" s="1"/>
    </row>
    <row r="16698" spans="2:2" x14ac:dyDescent="0.25">
      <c r="B16698" s="1"/>
    </row>
    <row r="16699" spans="2:2" x14ac:dyDescent="0.25">
      <c r="B16699" s="1"/>
    </row>
    <row r="16700" spans="2:2" x14ac:dyDescent="0.25">
      <c r="B16700" s="1"/>
    </row>
    <row r="16701" spans="2:2" x14ac:dyDescent="0.25">
      <c r="B16701" s="1"/>
    </row>
    <row r="16702" spans="2:2" x14ac:dyDescent="0.25">
      <c r="B16702" s="1"/>
    </row>
    <row r="16703" spans="2:2" x14ac:dyDescent="0.25">
      <c r="B16703" s="1"/>
    </row>
    <row r="16704" spans="2:2" x14ac:dyDescent="0.25">
      <c r="B16704" s="1"/>
    </row>
    <row r="16705" spans="2:2" x14ac:dyDescent="0.25">
      <c r="B16705" s="1"/>
    </row>
    <row r="16706" spans="2:2" x14ac:dyDescent="0.25">
      <c r="B16706" s="1"/>
    </row>
    <row r="16707" spans="2:2" x14ac:dyDescent="0.25">
      <c r="B16707" s="1"/>
    </row>
    <row r="16708" spans="2:2" x14ac:dyDescent="0.25">
      <c r="B16708" s="1"/>
    </row>
    <row r="16709" spans="2:2" x14ac:dyDescent="0.25">
      <c r="B16709" s="1"/>
    </row>
    <row r="16710" spans="2:2" x14ac:dyDescent="0.25">
      <c r="B16710" s="1"/>
    </row>
    <row r="16711" spans="2:2" x14ac:dyDescent="0.25">
      <c r="B16711" s="1"/>
    </row>
    <row r="16712" spans="2:2" x14ac:dyDescent="0.25">
      <c r="B16712" s="1"/>
    </row>
    <row r="16713" spans="2:2" x14ac:dyDescent="0.25">
      <c r="B16713" s="1"/>
    </row>
    <row r="16714" spans="2:2" x14ac:dyDescent="0.25">
      <c r="B16714" s="1"/>
    </row>
    <row r="16715" spans="2:2" x14ac:dyDescent="0.25">
      <c r="B16715" s="1"/>
    </row>
    <row r="16716" spans="2:2" x14ac:dyDescent="0.25">
      <c r="B16716" s="1"/>
    </row>
    <row r="16717" spans="2:2" x14ac:dyDescent="0.25">
      <c r="B16717" s="1"/>
    </row>
    <row r="16718" spans="2:2" x14ac:dyDescent="0.25">
      <c r="B16718" s="1"/>
    </row>
    <row r="16719" spans="2:2" x14ac:dyDescent="0.25">
      <c r="B16719" s="1"/>
    </row>
    <row r="16720" spans="2:2" x14ac:dyDescent="0.25">
      <c r="B16720" s="1"/>
    </row>
    <row r="16721" spans="2:2" x14ac:dyDescent="0.25">
      <c r="B16721" s="1"/>
    </row>
    <row r="16722" spans="2:2" x14ac:dyDescent="0.25">
      <c r="B16722" s="1"/>
    </row>
    <row r="16723" spans="2:2" x14ac:dyDescent="0.25">
      <c r="B16723" s="1"/>
    </row>
    <row r="16724" spans="2:2" x14ac:dyDescent="0.25">
      <c r="B16724" s="1"/>
    </row>
    <row r="16725" spans="2:2" x14ac:dyDescent="0.25">
      <c r="B16725" s="1"/>
    </row>
    <row r="16726" spans="2:2" x14ac:dyDescent="0.25">
      <c r="B16726" s="1"/>
    </row>
    <row r="16727" spans="2:2" x14ac:dyDescent="0.25">
      <c r="B16727" s="1"/>
    </row>
    <row r="16728" spans="2:2" x14ac:dyDescent="0.25">
      <c r="B16728" s="1"/>
    </row>
    <row r="16729" spans="2:2" x14ac:dyDescent="0.25">
      <c r="B16729" s="1"/>
    </row>
    <row r="16730" spans="2:2" x14ac:dyDescent="0.25">
      <c r="B16730" s="1"/>
    </row>
    <row r="16731" spans="2:2" x14ac:dyDescent="0.25">
      <c r="B16731" s="1"/>
    </row>
    <row r="16732" spans="2:2" x14ac:dyDescent="0.25">
      <c r="B16732" s="1"/>
    </row>
    <row r="16733" spans="2:2" x14ac:dyDescent="0.25">
      <c r="B16733" s="1"/>
    </row>
    <row r="16734" spans="2:2" x14ac:dyDescent="0.25">
      <c r="B16734" s="1"/>
    </row>
    <row r="16735" spans="2:2" x14ac:dyDescent="0.25">
      <c r="B16735" s="1"/>
    </row>
    <row r="16736" spans="2:2" x14ac:dyDescent="0.25">
      <c r="B16736" s="1"/>
    </row>
    <row r="16737" spans="2:2" x14ac:dyDescent="0.25">
      <c r="B16737" s="1"/>
    </row>
    <row r="16738" spans="2:2" x14ac:dyDescent="0.25">
      <c r="B16738" s="1"/>
    </row>
    <row r="16739" spans="2:2" x14ac:dyDescent="0.25">
      <c r="B16739" s="1"/>
    </row>
    <row r="16740" spans="2:2" x14ac:dyDescent="0.25">
      <c r="B16740" s="1"/>
    </row>
    <row r="16741" spans="2:2" x14ac:dyDescent="0.25">
      <c r="B16741" s="1"/>
    </row>
    <row r="16742" spans="2:2" x14ac:dyDescent="0.25">
      <c r="B16742" s="1"/>
    </row>
    <row r="16743" spans="2:2" x14ac:dyDescent="0.25">
      <c r="B16743" s="1"/>
    </row>
    <row r="16744" spans="2:2" x14ac:dyDescent="0.25">
      <c r="B16744" s="1"/>
    </row>
    <row r="16745" spans="2:2" x14ac:dyDescent="0.25">
      <c r="B16745" s="1"/>
    </row>
    <row r="16746" spans="2:2" x14ac:dyDescent="0.25">
      <c r="B16746" s="1"/>
    </row>
    <row r="16747" spans="2:2" x14ac:dyDescent="0.25">
      <c r="B16747" s="1"/>
    </row>
    <row r="16748" spans="2:2" x14ac:dyDescent="0.25">
      <c r="B16748" s="1"/>
    </row>
    <row r="16749" spans="2:2" x14ac:dyDescent="0.25">
      <c r="B16749" s="1"/>
    </row>
    <row r="16750" spans="2:2" x14ac:dyDescent="0.25">
      <c r="B16750" s="1"/>
    </row>
    <row r="16751" spans="2:2" x14ac:dyDescent="0.25">
      <c r="B16751" s="1"/>
    </row>
    <row r="16752" spans="2:2" x14ac:dyDescent="0.25">
      <c r="B16752" s="1"/>
    </row>
    <row r="16753" spans="2:2" x14ac:dyDescent="0.25">
      <c r="B16753" s="1"/>
    </row>
    <row r="16754" spans="2:2" x14ac:dyDescent="0.25">
      <c r="B16754" s="1"/>
    </row>
    <row r="16755" spans="2:2" x14ac:dyDescent="0.25">
      <c r="B16755" s="1"/>
    </row>
    <row r="16756" spans="2:2" x14ac:dyDescent="0.25">
      <c r="B16756" s="1"/>
    </row>
    <row r="16757" spans="2:2" x14ac:dyDescent="0.25">
      <c r="B16757" s="1"/>
    </row>
    <row r="16758" spans="2:2" x14ac:dyDescent="0.25">
      <c r="B16758" s="1"/>
    </row>
    <row r="16759" spans="2:2" x14ac:dyDescent="0.25">
      <c r="B16759" s="1"/>
    </row>
    <row r="16760" spans="2:2" x14ac:dyDescent="0.25">
      <c r="B16760" s="1"/>
    </row>
    <row r="16761" spans="2:2" x14ac:dyDescent="0.25">
      <c r="B16761" s="1"/>
    </row>
    <row r="16762" spans="2:2" x14ac:dyDescent="0.25">
      <c r="B16762" s="1"/>
    </row>
    <row r="16763" spans="2:2" x14ac:dyDescent="0.25">
      <c r="B16763" s="1"/>
    </row>
    <row r="16764" spans="2:2" x14ac:dyDescent="0.25">
      <c r="B16764" s="1"/>
    </row>
    <row r="16765" spans="2:2" x14ac:dyDescent="0.25">
      <c r="B16765" s="1"/>
    </row>
    <row r="16766" spans="2:2" x14ac:dyDescent="0.25">
      <c r="B16766" s="1"/>
    </row>
    <row r="16767" spans="2:2" x14ac:dyDescent="0.25">
      <c r="B16767" s="1"/>
    </row>
    <row r="16768" spans="2:2" x14ac:dyDescent="0.25">
      <c r="B16768" s="1"/>
    </row>
    <row r="16769" spans="2:2" x14ac:dyDescent="0.25">
      <c r="B16769" s="1"/>
    </row>
    <row r="16770" spans="2:2" x14ac:dyDescent="0.25">
      <c r="B16770" s="1"/>
    </row>
    <row r="16771" spans="2:2" x14ac:dyDescent="0.25">
      <c r="B16771" s="1"/>
    </row>
    <row r="16772" spans="2:2" x14ac:dyDescent="0.25">
      <c r="B16772" s="1"/>
    </row>
    <row r="16773" spans="2:2" x14ac:dyDescent="0.25">
      <c r="B16773" s="1"/>
    </row>
    <row r="16774" spans="2:2" x14ac:dyDescent="0.25">
      <c r="B16774" s="1"/>
    </row>
    <row r="16775" spans="2:2" x14ac:dyDescent="0.25">
      <c r="B16775" s="1"/>
    </row>
    <row r="16776" spans="2:2" x14ac:dyDescent="0.25">
      <c r="B16776" s="1"/>
    </row>
    <row r="16777" spans="2:2" x14ac:dyDescent="0.25">
      <c r="B16777" s="1"/>
    </row>
    <row r="16778" spans="2:2" x14ac:dyDescent="0.25">
      <c r="B16778" s="1"/>
    </row>
    <row r="16779" spans="2:2" x14ac:dyDescent="0.25">
      <c r="B16779" s="1"/>
    </row>
    <row r="16780" spans="2:2" x14ac:dyDescent="0.25">
      <c r="B16780" s="1"/>
    </row>
    <row r="16781" spans="2:2" x14ac:dyDescent="0.25">
      <c r="B16781" s="1"/>
    </row>
    <row r="16782" spans="2:2" x14ac:dyDescent="0.25">
      <c r="B16782" s="1"/>
    </row>
    <row r="16783" spans="2:2" x14ac:dyDescent="0.25">
      <c r="B16783" s="1"/>
    </row>
    <row r="16784" spans="2:2" x14ac:dyDescent="0.25">
      <c r="B16784" s="1"/>
    </row>
    <row r="16785" spans="2:2" x14ac:dyDescent="0.25">
      <c r="B16785" s="1"/>
    </row>
    <row r="16786" spans="2:2" x14ac:dyDescent="0.25">
      <c r="B16786" s="1"/>
    </row>
    <row r="16787" spans="2:2" x14ac:dyDescent="0.25">
      <c r="B16787" s="1"/>
    </row>
    <row r="16788" spans="2:2" x14ac:dyDescent="0.25">
      <c r="B16788" s="1"/>
    </row>
    <row r="16789" spans="2:2" x14ac:dyDescent="0.25">
      <c r="B16789" s="1"/>
    </row>
    <row r="16790" spans="2:2" x14ac:dyDescent="0.25">
      <c r="B16790" s="1"/>
    </row>
    <row r="16791" spans="2:2" x14ac:dyDescent="0.25">
      <c r="B16791" s="1"/>
    </row>
    <row r="16792" spans="2:2" x14ac:dyDescent="0.25">
      <c r="B16792" s="1"/>
    </row>
    <row r="16793" spans="2:2" x14ac:dyDescent="0.25">
      <c r="B16793" s="1"/>
    </row>
    <row r="16794" spans="2:2" x14ac:dyDescent="0.25">
      <c r="B16794" s="1"/>
    </row>
    <row r="16795" spans="2:2" x14ac:dyDescent="0.25">
      <c r="B16795" s="1"/>
    </row>
    <row r="16796" spans="2:2" x14ac:dyDescent="0.25">
      <c r="B16796" s="1"/>
    </row>
    <row r="16797" spans="2:2" x14ac:dyDescent="0.25">
      <c r="B16797" s="1"/>
    </row>
    <row r="16798" spans="2:2" x14ac:dyDescent="0.25">
      <c r="B16798" s="1"/>
    </row>
    <row r="16799" spans="2:2" x14ac:dyDescent="0.25">
      <c r="B16799" s="1"/>
    </row>
    <row r="16800" spans="2:2" x14ac:dyDescent="0.25">
      <c r="B16800" s="1"/>
    </row>
    <row r="16801" spans="2:2" x14ac:dyDescent="0.25">
      <c r="B16801" s="1"/>
    </row>
    <row r="16802" spans="2:2" x14ac:dyDescent="0.25">
      <c r="B16802" s="1"/>
    </row>
    <row r="16803" spans="2:2" x14ac:dyDescent="0.25">
      <c r="B16803" s="1"/>
    </row>
    <row r="16804" spans="2:2" x14ac:dyDescent="0.25">
      <c r="B16804" s="1"/>
    </row>
    <row r="16805" spans="2:2" x14ac:dyDescent="0.25">
      <c r="B16805" s="1"/>
    </row>
    <row r="16806" spans="2:2" x14ac:dyDescent="0.25">
      <c r="B16806" s="1"/>
    </row>
    <row r="16807" spans="2:2" x14ac:dyDescent="0.25">
      <c r="B16807" s="1"/>
    </row>
    <row r="16808" spans="2:2" x14ac:dyDescent="0.25">
      <c r="B16808" s="1"/>
    </row>
    <row r="16809" spans="2:2" x14ac:dyDescent="0.25">
      <c r="B16809" s="1"/>
    </row>
    <row r="16810" spans="2:2" x14ac:dyDescent="0.25">
      <c r="B16810" s="1"/>
    </row>
    <row r="16811" spans="2:2" x14ac:dyDescent="0.25">
      <c r="B16811" s="1"/>
    </row>
    <row r="16812" spans="2:2" x14ac:dyDescent="0.25">
      <c r="B16812" s="1"/>
    </row>
    <row r="16813" spans="2:2" x14ac:dyDescent="0.25">
      <c r="B16813" s="1"/>
    </row>
    <row r="16814" spans="2:2" x14ac:dyDescent="0.25">
      <c r="B16814" s="1"/>
    </row>
    <row r="16815" spans="2:2" x14ac:dyDescent="0.25">
      <c r="B16815" s="1"/>
    </row>
    <row r="16816" spans="2:2" x14ac:dyDescent="0.25">
      <c r="B16816" s="1"/>
    </row>
    <row r="16817" spans="2:2" x14ac:dyDescent="0.25">
      <c r="B16817" s="1"/>
    </row>
    <row r="16818" spans="2:2" x14ac:dyDescent="0.25">
      <c r="B16818" s="1"/>
    </row>
    <row r="16819" spans="2:2" x14ac:dyDescent="0.25">
      <c r="B16819" s="1"/>
    </row>
    <row r="16820" spans="2:2" x14ac:dyDescent="0.25">
      <c r="B16820" s="1"/>
    </row>
    <row r="16821" spans="2:2" x14ac:dyDescent="0.25">
      <c r="B16821" s="1"/>
    </row>
    <row r="16822" spans="2:2" x14ac:dyDescent="0.25">
      <c r="B16822" s="1"/>
    </row>
    <row r="16823" spans="2:2" x14ac:dyDescent="0.25">
      <c r="B16823" s="1"/>
    </row>
    <row r="16824" spans="2:2" x14ac:dyDescent="0.25">
      <c r="B16824" s="1"/>
    </row>
    <row r="16825" spans="2:2" x14ac:dyDescent="0.25">
      <c r="B16825" s="1"/>
    </row>
    <row r="16826" spans="2:2" x14ac:dyDescent="0.25">
      <c r="B16826" s="1"/>
    </row>
    <row r="16827" spans="2:2" x14ac:dyDescent="0.25">
      <c r="B16827" s="1"/>
    </row>
    <row r="16828" spans="2:2" x14ac:dyDescent="0.25">
      <c r="B16828" s="1"/>
    </row>
    <row r="16829" spans="2:2" x14ac:dyDescent="0.25">
      <c r="B16829" s="1"/>
    </row>
    <row r="16830" spans="2:2" x14ac:dyDescent="0.25">
      <c r="B16830" s="1"/>
    </row>
    <row r="16831" spans="2:2" x14ac:dyDescent="0.25">
      <c r="B16831" s="1"/>
    </row>
    <row r="16832" spans="2:2" x14ac:dyDescent="0.25">
      <c r="B16832" s="1"/>
    </row>
    <row r="16833" spans="2:2" x14ac:dyDescent="0.25">
      <c r="B16833" s="1"/>
    </row>
    <row r="16834" spans="2:2" x14ac:dyDescent="0.25">
      <c r="B16834" s="1"/>
    </row>
    <row r="16835" spans="2:2" x14ac:dyDescent="0.25">
      <c r="B16835" s="1"/>
    </row>
    <row r="16836" spans="2:2" x14ac:dyDescent="0.25">
      <c r="B16836" s="1"/>
    </row>
    <row r="16837" spans="2:2" x14ac:dyDescent="0.25">
      <c r="B16837" s="1"/>
    </row>
    <row r="16838" spans="2:2" x14ac:dyDescent="0.25">
      <c r="B16838" s="1"/>
    </row>
    <row r="16839" spans="2:2" x14ac:dyDescent="0.25">
      <c r="B16839" s="1"/>
    </row>
    <row r="16840" spans="2:2" x14ac:dyDescent="0.25">
      <c r="B16840" s="1"/>
    </row>
    <row r="16841" spans="2:2" x14ac:dyDescent="0.25">
      <c r="B16841" s="1"/>
    </row>
    <row r="16842" spans="2:2" x14ac:dyDescent="0.25">
      <c r="B16842" s="1"/>
    </row>
    <row r="16843" spans="2:2" x14ac:dyDescent="0.25">
      <c r="B16843" s="1"/>
    </row>
    <row r="16844" spans="2:2" x14ac:dyDescent="0.25">
      <c r="B16844" s="1"/>
    </row>
    <row r="16845" spans="2:2" x14ac:dyDescent="0.25">
      <c r="B16845" s="1"/>
    </row>
    <row r="16846" spans="2:2" x14ac:dyDescent="0.25">
      <c r="B16846" s="1"/>
    </row>
    <row r="16847" spans="2:2" x14ac:dyDescent="0.25">
      <c r="B16847" s="1"/>
    </row>
    <row r="16848" spans="2:2" x14ac:dyDescent="0.25">
      <c r="B16848" s="1"/>
    </row>
    <row r="16849" spans="2:2" x14ac:dyDescent="0.25">
      <c r="B16849" s="1"/>
    </row>
    <row r="16850" spans="2:2" x14ac:dyDescent="0.25">
      <c r="B16850" s="1"/>
    </row>
    <row r="16851" spans="2:2" x14ac:dyDescent="0.25">
      <c r="B16851" s="1"/>
    </row>
    <row r="16852" spans="2:2" x14ac:dyDescent="0.25">
      <c r="B16852" s="1"/>
    </row>
    <row r="16853" spans="2:2" x14ac:dyDescent="0.25">
      <c r="B16853" s="1"/>
    </row>
    <row r="16854" spans="2:2" x14ac:dyDescent="0.25">
      <c r="B16854" s="1"/>
    </row>
    <row r="16855" spans="2:2" x14ac:dyDescent="0.25">
      <c r="B16855" s="1"/>
    </row>
    <row r="16856" spans="2:2" x14ac:dyDescent="0.25">
      <c r="B16856" s="1"/>
    </row>
    <row r="16857" spans="2:2" x14ac:dyDescent="0.25">
      <c r="B16857" s="1"/>
    </row>
    <row r="16858" spans="2:2" x14ac:dyDescent="0.25">
      <c r="B16858" s="1"/>
    </row>
    <row r="16859" spans="2:2" x14ac:dyDescent="0.25">
      <c r="B16859" s="1"/>
    </row>
    <row r="16860" spans="2:2" x14ac:dyDescent="0.25">
      <c r="B16860" s="1"/>
    </row>
    <row r="16861" spans="2:2" x14ac:dyDescent="0.25">
      <c r="B16861" s="1"/>
    </row>
    <row r="16862" spans="2:2" x14ac:dyDescent="0.25">
      <c r="B16862" s="1"/>
    </row>
    <row r="16863" spans="2:2" x14ac:dyDescent="0.25">
      <c r="B16863" s="1"/>
    </row>
    <row r="16864" spans="2:2" x14ac:dyDescent="0.25">
      <c r="B16864" s="1"/>
    </row>
    <row r="16865" spans="2:2" x14ac:dyDescent="0.25">
      <c r="B16865" s="1"/>
    </row>
    <row r="16866" spans="2:2" x14ac:dyDescent="0.25">
      <c r="B16866" s="1"/>
    </row>
    <row r="16867" spans="2:2" x14ac:dyDescent="0.25">
      <c r="B16867" s="1"/>
    </row>
    <row r="16868" spans="2:2" x14ac:dyDescent="0.25">
      <c r="B16868" s="1"/>
    </row>
    <row r="16869" spans="2:2" x14ac:dyDescent="0.25">
      <c r="B16869" s="1"/>
    </row>
    <row r="16870" spans="2:2" x14ac:dyDescent="0.25">
      <c r="B16870" s="1"/>
    </row>
    <row r="16871" spans="2:2" x14ac:dyDescent="0.25">
      <c r="B16871" s="1"/>
    </row>
    <row r="16872" spans="2:2" x14ac:dyDescent="0.25">
      <c r="B16872" s="1"/>
    </row>
    <row r="16873" spans="2:2" x14ac:dyDescent="0.25">
      <c r="B16873" s="1"/>
    </row>
    <row r="16874" spans="2:2" x14ac:dyDescent="0.25">
      <c r="B16874" s="1"/>
    </row>
    <row r="16875" spans="2:2" x14ac:dyDescent="0.25">
      <c r="B16875" s="1"/>
    </row>
    <row r="16876" spans="2:2" x14ac:dyDescent="0.25">
      <c r="B16876" s="1"/>
    </row>
    <row r="16877" spans="2:2" x14ac:dyDescent="0.25">
      <c r="B16877" s="1"/>
    </row>
    <row r="16878" spans="2:2" x14ac:dyDescent="0.25">
      <c r="B16878" s="1"/>
    </row>
    <row r="16879" spans="2:2" x14ac:dyDescent="0.25">
      <c r="B16879" s="1"/>
    </row>
    <row r="16880" spans="2:2" x14ac:dyDescent="0.25">
      <c r="B16880" s="1"/>
    </row>
    <row r="16881" spans="2:2" x14ac:dyDescent="0.25">
      <c r="B16881" s="1"/>
    </row>
    <row r="16882" spans="2:2" x14ac:dyDescent="0.25">
      <c r="B16882" s="1"/>
    </row>
    <row r="16883" spans="2:2" x14ac:dyDescent="0.25">
      <c r="B16883" s="1"/>
    </row>
    <row r="16884" spans="2:2" x14ac:dyDescent="0.25">
      <c r="B16884" s="1"/>
    </row>
    <row r="16885" spans="2:2" x14ac:dyDescent="0.25">
      <c r="B16885" s="1"/>
    </row>
    <row r="16886" spans="2:2" x14ac:dyDescent="0.25">
      <c r="B16886" s="1"/>
    </row>
    <row r="16887" spans="2:2" x14ac:dyDescent="0.25">
      <c r="B16887" s="1"/>
    </row>
    <row r="16888" spans="2:2" x14ac:dyDescent="0.25">
      <c r="B16888" s="1"/>
    </row>
    <row r="16889" spans="2:2" x14ac:dyDescent="0.25">
      <c r="B16889" s="1"/>
    </row>
    <row r="16890" spans="2:2" x14ac:dyDescent="0.25">
      <c r="B16890" s="1"/>
    </row>
    <row r="16891" spans="2:2" x14ac:dyDescent="0.25">
      <c r="B16891" s="1"/>
    </row>
    <row r="16892" spans="2:2" x14ac:dyDescent="0.25">
      <c r="B16892" s="1"/>
    </row>
    <row r="16893" spans="2:2" x14ac:dyDescent="0.25">
      <c r="B16893" s="1"/>
    </row>
    <row r="16894" spans="2:2" x14ac:dyDescent="0.25">
      <c r="B16894" s="1"/>
    </row>
    <row r="16895" spans="2:2" x14ac:dyDescent="0.25">
      <c r="B16895" s="1"/>
    </row>
    <row r="16896" spans="2:2" x14ac:dyDescent="0.25">
      <c r="B16896" s="1"/>
    </row>
    <row r="16897" spans="2:2" x14ac:dyDescent="0.25">
      <c r="B16897" s="1"/>
    </row>
    <row r="16898" spans="2:2" x14ac:dyDescent="0.25">
      <c r="B16898" s="1"/>
    </row>
    <row r="16899" spans="2:2" x14ac:dyDescent="0.25">
      <c r="B16899" s="1"/>
    </row>
    <row r="16900" spans="2:2" x14ac:dyDescent="0.25">
      <c r="B16900" s="1"/>
    </row>
    <row r="16901" spans="2:2" x14ac:dyDescent="0.25">
      <c r="B16901" s="1"/>
    </row>
    <row r="16902" spans="2:2" x14ac:dyDescent="0.25">
      <c r="B16902" s="1"/>
    </row>
    <row r="16903" spans="2:2" x14ac:dyDescent="0.25">
      <c r="B16903" s="1"/>
    </row>
    <row r="16904" spans="2:2" x14ac:dyDescent="0.25">
      <c r="B16904" s="1"/>
    </row>
    <row r="16905" spans="2:2" x14ac:dyDescent="0.25">
      <c r="B16905" s="1"/>
    </row>
    <row r="16906" spans="2:2" x14ac:dyDescent="0.25">
      <c r="B16906" s="1"/>
    </row>
    <row r="16907" spans="2:2" x14ac:dyDescent="0.25">
      <c r="B16907" s="1"/>
    </row>
    <row r="16908" spans="2:2" x14ac:dyDescent="0.25">
      <c r="B16908" s="1"/>
    </row>
    <row r="16909" spans="2:2" x14ac:dyDescent="0.25">
      <c r="B16909" s="1"/>
    </row>
    <row r="16910" spans="2:2" x14ac:dyDescent="0.25">
      <c r="B16910" s="1"/>
    </row>
    <row r="16911" spans="2:2" x14ac:dyDescent="0.25">
      <c r="B16911" s="1"/>
    </row>
    <row r="16912" spans="2:2" x14ac:dyDescent="0.25">
      <c r="B16912" s="1"/>
    </row>
    <row r="16913" spans="2:2" x14ac:dyDescent="0.25">
      <c r="B16913" s="1"/>
    </row>
    <row r="16914" spans="2:2" x14ac:dyDescent="0.25">
      <c r="B16914" s="1"/>
    </row>
    <row r="16915" spans="2:2" x14ac:dyDescent="0.25">
      <c r="B16915" s="1"/>
    </row>
    <row r="16916" spans="2:2" x14ac:dyDescent="0.25">
      <c r="B16916" s="1"/>
    </row>
    <row r="16917" spans="2:2" x14ac:dyDescent="0.25">
      <c r="B16917" s="1"/>
    </row>
    <row r="16918" spans="2:2" x14ac:dyDescent="0.25">
      <c r="B16918" s="1"/>
    </row>
    <row r="16919" spans="2:2" x14ac:dyDescent="0.25">
      <c r="B16919" s="1"/>
    </row>
    <row r="16920" spans="2:2" x14ac:dyDescent="0.25">
      <c r="B16920" s="1"/>
    </row>
    <row r="16921" spans="2:2" x14ac:dyDescent="0.25">
      <c r="B16921" s="1"/>
    </row>
    <row r="16922" spans="2:2" x14ac:dyDescent="0.25">
      <c r="B16922" s="1"/>
    </row>
    <row r="16923" spans="2:2" x14ac:dyDescent="0.25">
      <c r="B16923" s="1"/>
    </row>
    <row r="16924" spans="2:2" x14ac:dyDescent="0.25">
      <c r="B16924" s="1"/>
    </row>
    <row r="16925" spans="2:2" x14ac:dyDescent="0.25">
      <c r="B16925" s="1"/>
    </row>
    <row r="16926" spans="2:2" x14ac:dyDescent="0.25">
      <c r="B16926" s="1"/>
    </row>
    <row r="16927" spans="2:2" x14ac:dyDescent="0.25">
      <c r="B16927" s="1"/>
    </row>
    <row r="16928" spans="2:2" x14ac:dyDescent="0.25">
      <c r="B16928" s="1"/>
    </row>
    <row r="16929" spans="2:2" x14ac:dyDescent="0.25">
      <c r="B16929" s="1"/>
    </row>
    <row r="16930" spans="2:2" x14ac:dyDescent="0.25">
      <c r="B16930" s="1"/>
    </row>
    <row r="16931" spans="2:2" x14ac:dyDescent="0.25">
      <c r="B16931" s="1"/>
    </row>
    <row r="16932" spans="2:2" x14ac:dyDescent="0.25">
      <c r="B16932" s="1"/>
    </row>
    <row r="16933" spans="2:2" x14ac:dyDescent="0.25">
      <c r="B16933" s="1"/>
    </row>
    <row r="16934" spans="2:2" x14ac:dyDescent="0.25">
      <c r="B16934" s="1"/>
    </row>
    <row r="16935" spans="2:2" x14ac:dyDescent="0.25">
      <c r="B16935" s="1"/>
    </row>
    <row r="16936" spans="2:2" x14ac:dyDescent="0.25">
      <c r="B16936" s="1"/>
    </row>
    <row r="16937" spans="2:2" x14ac:dyDescent="0.25">
      <c r="B16937" s="1"/>
    </row>
    <row r="16938" spans="2:2" x14ac:dyDescent="0.25">
      <c r="B16938" s="1"/>
    </row>
    <row r="16939" spans="2:2" x14ac:dyDescent="0.25">
      <c r="B16939" s="1"/>
    </row>
    <row r="16940" spans="2:2" x14ac:dyDescent="0.25">
      <c r="B16940" s="1"/>
    </row>
    <row r="16941" spans="2:2" x14ac:dyDescent="0.25">
      <c r="B16941" s="1"/>
    </row>
    <row r="16942" spans="2:2" x14ac:dyDescent="0.25">
      <c r="B16942" s="1"/>
    </row>
    <row r="16943" spans="2:2" x14ac:dyDescent="0.25">
      <c r="B16943" s="1"/>
    </row>
    <row r="16944" spans="2:2" x14ac:dyDescent="0.25">
      <c r="B16944" s="1"/>
    </row>
    <row r="16945" spans="2:2" x14ac:dyDescent="0.25">
      <c r="B16945" s="1"/>
    </row>
    <row r="16946" spans="2:2" x14ac:dyDescent="0.25">
      <c r="B16946" s="1"/>
    </row>
    <row r="16947" spans="2:2" x14ac:dyDescent="0.25">
      <c r="B16947" s="1"/>
    </row>
    <row r="16948" spans="2:2" x14ac:dyDescent="0.25">
      <c r="B16948" s="1"/>
    </row>
    <row r="16949" spans="2:2" x14ac:dyDescent="0.25">
      <c r="B16949" s="1"/>
    </row>
    <row r="16950" spans="2:2" x14ac:dyDescent="0.25">
      <c r="B16950" s="1"/>
    </row>
    <row r="16951" spans="2:2" x14ac:dyDescent="0.25">
      <c r="B16951" s="1"/>
    </row>
    <row r="16952" spans="2:2" x14ac:dyDescent="0.25">
      <c r="B16952" s="1"/>
    </row>
    <row r="16953" spans="2:2" x14ac:dyDescent="0.25">
      <c r="B16953" s="1"/>
    </row>
    <row r="16954" spans="2:2" x14ac:dyDescent="0.25">
      <c r="B16954" s="1"/>
    </row>
    <row r="16955" spans="2:2" x14ac:dyDescent="0.25">
      <c r="B16955" s="1"/>
    </row>
    <row r="16956" spans="2:2" x14ac:dyDescent="0.25">
      <c r="B16956" s="1"/>
    </row>
    <row r="16957" spans="2:2" x14ac:dyDescent="0.25">
      <c r="B16957" s="1"/>
    </row>
    <row r="16958" spans="2:2" x14ac:dyDescent="0.25">
      <c r="B16958" s="1"/>
    </row>
    <row r="16959" spans="2:2" x14ac:dyDescent="0.25">
      <c r="B16959" s="1"/>
    </row>
    <row r="16960" spans="2:2" x14ac:dyDescent="0.25">
      <c r="B16960" s="1"/>
    </row>
    <row r="16961" spans="2:2" x14ac:dyDescent="0.25">
      <c r="B16961" s="1"/>
    </row>
    <row r="16962" spans="2:2" x14ac:dyDescent="0.25">
      <c r="B16962" s="1"/>
    </row>
    <row r="16963" spans="2:2" x14ac:dyDescent="0.25">
      <c r="B16963" s="1"/>
    </row>
    <row r="16964" spans="2:2" x14ac:dyDescent="0.25">
      <c r="B16964" s="1"/>
    </row>
    <row r="16965" spans="2:2" x14ac:dyDescent="0.25">
      <c r="B16965" s="1"/>
    </row>
    <row r="16966" spans="2:2" x14ac:dyDescent="0.25">
      <c r="B16966" s="1"/>
    </row>
    <row r="16967" spans="2:2" x14ac:dyDescent="0.25">
      <c r="B16967" s="1"/>
    </row>
    <row r="16968" spans="2:2" x14ac:dyDescent="0.25">
      <c r="B16968" s="1"/>
    </row>
    <row r="16969" spans="2:2" x14ac:dyDescent="0.25">
      <c r="B16969" s="1"/>
    </row>
    <row r="16970" spans="2:2" x14ac:dyDescent="0.25">
      <c r="B16970" s="1"/>
    </row>
    <row r="16971" spans="2:2" x14ac:dyDescent="0.25">
      <c r="B16971" s="1"/>
    </row>
    <row r="16972" spans="2:2" x14ac:dyDescent="0.25">
      <c r="B16972" s="1"/>
    </row>
    <row r="16973" spans="2:2" x14ac:dyDescent="0.25">
      <c r="B16973" s="1"/>
    </row>
    <row r="16974" spans="2:2" x14ac:dyDescent="0.25">
      <c r="B16974" s="1"/>
    </row>
    <row r="16975" spans="2:2" x14ac:dyDescent="0.25">
      <c r="B16975" s="1"/>
    </row>
    <row r="16976" spans="2:2" x14ac:dyDescent="0.25">
      <c r="B16976" s="1"/>
    </row>
    <row r="16977" spans="2:2" x14ac:dyDescent="0.25">
      <c r="B16977" s="1"/>
    </row>
    <row r="16978" spans="2:2" x14ac:dyDescent="0.25">
      <c r="B16978" s="1"/>
    </row>
    <row r="16979" spans="2:2" x14ac:dyDescent="0.25">
      <c r="B16979" s="1"/>
    </row>
    <row r="16980" spans="2:2" x14ac:dyDescent="0.25">
      <c r="B16980" s="1"/>
    </row>
    <row r="16981" spans="2:2" x14ac:dyDescent="0.25">
      <c r="B16981" s="1"/>
    </row>
    <row r="16982" spans="2:2" x14ac:dyDescent="0.25">
      <c r="B16982" s="1"/>
    </row>
    <row r="16983" spans="2:2" x14ac:dyDescent="0.25">
      <c r="B16983" s="1"/>
    </row>
    <row r="16984" spans="2:2" x14ac:dyDescent="0.25">
      <c r="B16984" s="1"/>
    </row>
    <row r="16985" spans="2:2" x14ac:dyDescent="0.25">
      <c r="B16985" s="1"/>
    </row>
    <row r="16986" spans="2:2" x14ac:dyDescent="0.25">
      <c r="B16986" s="1"/>
    </row>
    <row r="16987" spans="2:2" x14ac:dyDescent="0.25">
      <c r="B16987" s="1"/>
    </row>
    <row r="16988" spans="2:2" x14ac:dyDescent="0.25">
      <c r="B16988" s="1"/>
    </row>
    <row r="16989" spans="2:2" x14ac:dyDescent="0.25">
      <c r="B16989" s="1"/>
    </row>
    <row r="16990" spans="2:2" x14ac:dyDescent="0.25">
      <c r="B16990" s="1"/>
    </row>
    <row r="16991" spans="2:2" x14ac:dyDescent="0.25">
      <c r="B16991" s="1"/>
    </row>
    <row r="16992" spans="2:2" x14ac:dyDescent="0.25">
      <c r="B16992" s="1"/>
    </row>
    <row r="16993" spans="2:2" x14ac:dyDescent="0.25">
      <c r="B16993" s="1"/>
    </row>
    <row r="16994" spans="2:2" x14ac:dyDescent="0.25">
      <c r="B16994" s="1"/>
    </row>
    <row r="16995" spans="2:2" x14ac:dyDescent="0.25">
      <c r="B16995" s="1"/>
    </row>
    <row r="16996" spans="2:2" x14ac:dyDescent="0.25">
      <c r="B16996" s="1"/>
    </row>
    <row r="16997" spans="2:2" x14ac:dyDescent="0.25">
      <c r="B16997" s="1"/>
    </row>
    <row r="16998" spans="2:2" x14ac:dyDescent="0.25">
      <c r="B16998" s="1"/>
    </row>
    <row r="16999" spans="2:2" x14ac:dyDescent="0.25">
      <c r="B16999" s="1"/>
    </row>
    <row r="17000" spans="2:2" x14ac:dyDescent="0.25">
      <c r="B17000" s="1"/>
    </row>
    <row r="17001" spans="2:2" x14ac:dyDescent="0.25">
      <c r="B17001" s="1"/>
    </row>
    <row r="17002" spans="2:2" x14ac:dyDescent="0.25">
      <c r="B17002" s="1"/>
    </row>
    <row r="17003" spans="2:2" x14ac:dyDescent="0.25">
      <c r="B17003" s="1"/>
    </row>
    <row r="17004" spans="2:2" x14ac:dyDescent="0.25">
      <c r="B17004" s="1"/>
    </row>
    <row r="17005" spans="2:2" x14ac:dyDescent="0.25">
      <c r="B17005" s="1"/>
    </row>
    <row r="17006" spans="2:2" x14ac:dyDescent="0.25">
      <c r="B17006" s="1"/>
    </row>
    <row r="17007" spans="2:2" x14ac:dyDescent="0.25">
      <c r="B17007" s="1"/>
    </row>
    <row r="17008" spans="2:2" x14ac:dyDescent="0.25">
      <c r="B17008" s="1"/>
    </row>
    <row r="17009" spans="2:2" x14ac:dyDescent="0.25">
      <c r="B17009" s="1"/>
    </row>
    <row r="17010" spans="2:2" x14ac:dyDescent="0.25">
      <c r="B17010" s="1"/>
    </row>
    <row r="17011" spans="2:2" x14ac:dyDescent="0.25">
      <c r="B17011" s="1"/>
    </row>
    <row r="17012" spans="2:2" x14ac:dyDescent="0.25">
      <c r="B17012" s="1"/>
    </row>
    <row r="17013" spans="2:2" x14ac:dyDescent="0.25">
      <c r="B17013" s="1"/>
    </row>
    <row r="17014" spans="2:2" x14ac:dyDescent="0.25">
      <c r="B17014" s="1"/>
    </row>
    <row r="17015" spans="2:2" x14ac:dyDescent="0.25">
      <c r="B17015" s="1"/>
    </row>
    <row r="17016" spans="2:2" x14ac:dyDescent="0.25">
      <c r="B17016" s="1"/>
    </row>
    <row r="17017" spans="2:2" x14ac:dyDescent="0.25">
      <c r="B17017" s="1"/>
    </row>
    <row r="17018" spans="2:2" x14ac:dyDescent="0.25">
      <c r="B17018" s="1"/>
    </row>
    <row r="17019" spans="2:2" x14ac:dyDescent="0.25">
      <c r="B17019" s="1"/>
    </row>
    <row r="17020" spans="2:2" x14ac:dyDescent="0.25">
      <c r="B17020" s="1"/>
    </row>
    <row r="17021" spans="2:2" x14ac:dyDescent="0.25">
      <c r="B17021" s="1"/>
    </row>
    <row r="17022" spans="2:2" x14ac:dyDescent="0.25">
      <c r="B17022" s="1"/>
    </row>
    <row r="17023" spans="2:2" x14ac:dyDescent="0.25">
      <c r="B17023" s="1"/>
    </row>
    <row r="17024" spans="2:2" x14ac:dyDescent="0.25">
      <c r="B17024" s="1"/>
    </row>
    <row r="17025" spans="2:2" x14ac:dyDescent="0.25">
      <c r="B17025" s="1"/>
    </row>
    <row r="17026" spans="2:2" x14ac:dyDescent="0.25">
      <c r="B17026" s="1"/>
    </row>
    <row r="17027" spans="2:2" x14ac:dyDescent="0.25">
      <c r="B17027" s="1"/>
    </row>
    <row r="17028" spans="2:2" x14ac:dyDescent="0.25">
      <c r="B17028" s="1"/>
    </row>
    <row r="17029" spans="2:2" x14ac:dyDescent="0.25">
      <c r="B17029" s="1"/>
    </row>
    <row r="17030" spans="2:2" x14ac:dyDescent="0.25">
      <c r="B17030" s="1"/>
    </row>
    <row r="17031" spans="2:2" x14ac:dyDescent="0.25">
      <c r="B17031" s="1"/>
    </row>
    <row r="17032" spans="2:2" x14ac:dyDescent="0.25">
      <c r="B17032" s="1"/>
    </row>
    <row r="17033" spans="2:2" x14ac:dyDescent="0.25">
      <c r="B17033" s="1"/>
    </row>
    <row r="17034" spans="2:2" x14ac:dyDescent="0.25">
      <c r="B17034" s="1"/>
    </row>
    <row r="17035" spans="2:2" x14ac:dyDescent="0.25">
      <c r="B17035" s="1"/>
    </row>
    <row r="17036" spans="2:2" x14ac:dyDescent="0.25">
      <c r="B17036" s="1"/>
    </row>
    <row r="17037" spans="2:2" x14ac:dyDescent="0.25">
      <c r="B17037" s="1"/>
    </row>
    <row r="17038" spans="2:2" x14ac:dyDescent="0.25">
      <c r="B17038" s="1"/>
    </row>
    <row r="17039" spans="2:2" x14ac:dyDescent="0.25">
      <c r="B17039" s="1"/>
    </row>
    <row r="17040" spans="2:2" x14ac:dyDescent="0.25">
      <c r="B17040" s="1"/>
    </row>
    <row r="17041" spans="2:2" x14ac:dyDescent="0.25">
      <c r="B17041" s="1"/>
    </row>
    <row r="17042" spans="2:2" x14ac:dyDescent="0.25">
      <c r="B17042" s="1"/>
    </row>
    <row r="17043" spans="2:2" x14ac:dyDescent="0.25">
      <c r="B17043" s="1"/>
    </row>
    <row r="17044" spans="2:2" x14ac:dyDescent="0.25">
      <c r="B17044" s="1"/>
    </row>
    <row r="17045" spans="2:2" x14ac:dyDescent="0.25">
      <c r="B17045" s="1"/>
    </row>
    <row r="17046" spans="2:2" x14ac:dyDescent="0.25">
      <c r="B17046" s="1"/>
    </row>
    <row r="17047" spans="2:2" x14ac:dyDescent="0.25">
      <c r="B17047" s="1"/>
    </row>
    <row r="17048" spans="2:2" x14ac:dyDescent="0.25">
      <c r="B17048" s="1"/>
    </row>
    <row r="17049" spans="2:2" x14ac:dyDescent="0.25">
      <c r="B17049" s="1"/>
    </row>
    <row r="17050" spans="2:2" x14ac:dyDescent="0.25">
      <c r="B17050" s="1"/>
    </row>
    <row r="17051" spans="2:2" x14ac:dyDescent="0.25">
      <c r="B17051" s="1"/>
    </row>
    <row r="17052" spans="2:2" x14ac:dyDescent="0.25">
      <c r="B17052" s="1"/>
    </row>
    <row r="17053" spans="2:2" x14ac:dyDescent="0.25">
      <c r="B17053" s="1"/>
    </row>
    <row r="17054" spans="2:2" x14ac:dyDescent="0.25">
      <c r="B17054" s="1"/>
    </row>
    <row r="17055" spans="2:2" x14ac:dyDescent="0.25">
      <c r="B17055" s="1"/>
    </row>
    <row r="17056" spans="2:2" x14ac:dyDescent="0.25">
      <c r="B17056" s="1"/>
    </row>
    <row r="17057" spans="2:2" x14ac:dyDescent="0.25">
      <c r="B17057" s="1"/>
    </row>
    <row r="17058" spans="2:2" x14ac:dyDescent="0.25">
      <c r="B17058" s="1"/>
    </row>
    <row r="17059" spans="2:2" x14ac:dyDescent="0.25">
      <c r="B17059" s="1"/>
    </row>
    <row r="17060" spans="2:2" x14ac:dyDescent="0.25">
      <c r="B17060" s="1"/>
    </row>
    <row r="17061" spans="2:2" x14ac:dyDescent="0.25">
      <c r="B17061" s="1"/>
    </row>
    <row r="17062" spans="2:2" x14ac:dyDescent="0.25">
      <c r="B17062" s="1"/>
    </row>
    <row r="17063" spans="2:2" x14ac:dyDescent="0.25">
      <c r="B17063" s="1"/>
    </row>
    <row r="17064" spans="2:2" x14ac:dyDescent="0.25">
      <c r="B17064" s="1"/>
    </row>
    <row r="17065" spans="2:2" x14ac:dyDescent="0.25">
      <c r="B17065" s="1"/>
    </row>
    <row r="17066" spans="2:2" x14ac:dyDescent="0.25">
      <c r="B17066" s="1"/>
    </row>
    <row r="17067" spans="2:2" x14ac:dyDescent="0.25">
      <c r="B17067" s="1"/>
    </row>
    <row r="17068" spans="2:2" x14ac:dyDescent="0.25">
      <c r="B17068" s="1"/>
    </row>
    <row r="17069" spans="2:2" x14ac:dyDescent="0.25">
      <c r="B17069" s="1"/>
    </row>
    <row r="17070" spans="2:2" x14ac:dyDescent="0.25">
      <c r="B17070" s="1"/>
    </row>
    <row r="17071" spans="2:2" x14ac:dyDescent="0.25">
      <c r="B17071" s="1"/>
    </row>
    <row r="17072" spans="2:2" x14ac:dyDescent="0.25">
      <c r="B17072" s="1"/>
    </row>
    <row r="17073" spans="2:2" x14ac:dyDescent="0.25">
      <c r="B17073" s="1"/>
    </row>
    <row r="17074" spans="2:2" x14ac:dyDescent="0.25">
      <c r="B17074" s="1"/>
    </row>
    <row r="17075" spans="2:2" x14ac:dyDescent="0.25">
      <c r="B17075" s="1"/>
    </row>
    <row r="17076" spans="2:2" x14ac:dyDescent="0.25">
      <c r="B17076" s="1"/>
    </row>
    <row r="17077" spans="2:2" x14ac:dyDescent="0.25">
      <c r="B17077" s="1"/>
    </row>
    <row r="17078" spans="2:2" x14ac:dyDescent="0.25">
      <c r="B17078" s="1"/>
    </row>
    <row r="17079" spans="2:2" x14ac:dyDescent="0.25">
      <c r="B17079" s="1"/>
    </row>
    <row r="17080" spans="2:2" x14ac:dyDescent="0.25">
      <c r="B17080" s="1"/>
    </row>
    <row r="17081" spans="2:2" x14ac:dyDescent="0.25">
      <c r="B17081" s="1"/>
    </row>
    <row r="17082" spans="2:2" x14ac:dyDescent="0.25">
      <c r="B17082" s="1"/>
    </row>
    <row r="17083" spans="2:2" x14ac:dyDescent="0.25">
      <c r="B17083" s="1"/>
    </row>
    <row r="17084" spans="2:2" x14ac:dyDescent="0.25">
      <c r="B17084" s="1"/>
    </row>
    <row r="17085" spans="2:2" x14ac:dyDescent="0.25">
      <c r="B17085" s="1"/>
    </row>
    <row r="17086" spans="2:2" x14ac:dyDescent="0.25">
      <c r="B17086" s="1"/>
    </row>
    <row r="17087" spans="2:2" x14ac:dyDescent="0.25">
      <c r="B17087" s="1"/>
    </row>
    <row r="17088" spans="2:2" x14ac:dyDescent="0.25">
      <c r="B17088" s="1"/>
    </row>
    <row r="17089" spans="2:2" x14ac:dyDescent="0.25">
      <c r="B17089" s="1"/>
    </row>
    <row r="17090" spans="2:2" x14ac:dyDescent="0.25">
      <c r="B17090" s="1"/>
    </row>
    <row r="17091" spans="2:2" x14ac:dyDescent="0.25">
      <c r="B17091" s="1"/>
    </row>
    <row r="17092" spans="2:2" x14ac:dyDescent="0.25">
      <c r="B17092" s="1"/>
    </row>
    <row r="17093" spans="2:2" x14ac:dyDescent="0.25">
      <c r="B17093" s="1"/>
    </row>
    <row r="17094" spans="2:2" x14ac:dyDescent="0.25">
      <c r="B17094" s="1"/>
    </row>
    <row r="17095" spans="2:2" x14ac:dyDescent="0.25">
      <c r="B17095" s="1"/>
    </row>
    <row r="17096" spans="2:2" x14ac:dyDescent="0.25">
      <c r="B17096" s="1"/>
    </row>
    <row r="17097" spans="2:2" x14ac:dyDescent="0.25">
      <c r="B17097" s="1"/>
    </row>
    <row r="17098" spans="2:2" x14ac:dyDescent="0.25">
      <c r="B17098" s="1"/>
    </row>
    <row r="17099" spans="2:2" x14ac:dyDescent="0.25">
      <c r="B17099" s="1"/>
    </row>
    <row r="17100" spans="2:2" x14ac:dyDescent="0.25">
      <c r="B17100" s="1"/>
    </row>
    <row r="17101" spans="2:2" x14ac:dyDescent="0.25">
      <c r="B17101" s="1"/>
    </row>
    <row r="17102" spans="2:2" x14ac:dyDescent="0.25">
      <c r="B17102" s="1"/>
    </row>
    <row r="17103" spans="2:2" x14ac:dyDescent="0.25">
      <c r="B17103" s="1"/>
    </row>
    <row r="17104" spans="2:2" x14ac:dyDescent="0.25">
      <c r="B17104" s="1"/>
    </row>
    <row r="17105" spans="2:2" x14ac:dyDescent="0.25">
      <c r="B17105" s="1"/>
    </row>
    <row r="17106" spans="2:2" x14ac:dyDescent="0.25">
      <c r="B17106" s="1"/>
    </row>
    <row r="17107" spans="2:2" x14ac:dyDescent="0.25">
      <c r="B17107" s="1"/>
    </row>
    <row r="17108" spans="2:2" x14ac:dyDescent="0.25">
      <c r="B17108" s="1"/>
    </row>
    <row r="17109" spans="2:2" x14ac:dyDescent="0.25">
      <c r="B17109" s="1"/>
    </row>
    <row r="17110" spans="2:2" x14ac:dyDescent="0.25">
      <c r="B17110" s="1"/>
    </row>
    <row r="17111" spans="2:2" x14ac:dyDescent="0.25">
      <c r="B17111" s="1"/>
    </row>
    <row r="17112" spans="2:2" x14ac:dyDescent="0.25">
      <c r="B17112" s="1"/>
    </row>
    <row r="17113" spans="2:2" x14ac:dyDescent="0.25">
      <c r="B17113" s="1"/>
    </row>
    <row r="17114" spans="2:2" x14ac:dyDescent="0.25">
      <c r="B17114" s="1"/>
    </row>
    <row r="17115" spans="2:2" x14ac:dyDescent="0.25">
      <c r="B17115" s="1"/>
    </row>
    <row r="17116" spans="2:2" x14ac:dyDescent="0.25">
      <c r="B17116" s="1"/>
    </row>
    <row r="17117" spans="2:2" x14ac:dyDescent="0.25">
      <c r="B17117" s="1"/>
    </row>
    <row r="17118" spans="2:2" x14ac:dyDescent="0.25">
      <c r="B17118" s="1"/>
    </row>
    <row r="17119" spans="2:2" x14ac:dyDescent="0.25">
      <c r="B17119" s="1"/>
    </row>
    <row r="17120" spans="2:2" x14ac:dyDescent="0.25">
      <c r="B17120" s="1"/>
    </row>
    <row r="17121" spans="2:2" x14ac:dyDescent="0.25">
      <c r="B17121" s="1"/>
    </row>
    <row r="17122" spans="2:2" x14ac:dyDescent="0.25">
      <c r="B17122" s="1"/>
    </row>
    <row r="17123" spans="2:2" x14ac:dyDescent="0.25">
      <c r="B17123" s="1"/>
    </row>
    <row r="17124" spans="2:2" x14ac:dyDescent="0.25">
      <c r="B17124" s="1"/>
    </row>
    <row r="17125" spans="2:2" x14ac:dyDescent="0.25">
      <c r="B17125" s="1"/>
    </row>
    <row r="17126" spans="2:2" x14ac:dyDescent="0.25">
      <c r="B17126" s="1"/>
    </row>
    <row r="17127" spans="2:2" x14ac:dyDescent="0.25">
      <c r="B17127" s="1"/>
    </row>
    <row r="17128" spans="2:2" x14ac:dyDescent="0.25">
      <c r="B17128" s="1"/>
    </row>
    <row r="17129" spans="2:2" x14ac:dyDescent="0.25">
      <c r="B17129" s="1"/>
    </row>
    <row r="17130" spans="2:2" x14ac:dyDescent="0.25">
      <c r="B17130" s="1"/>
    </row>
    <row r="17131" spans="2:2" x14ac:dyDescent="0.25">
      <c r="B17131" s="1"/>
    </row>
    <row r="17132" spans="2:2" x14ac:dyDescent="0.25">
      <c r="B17132" s="1"/>
    </row>
    <row r="17133" spans="2:2" x14ac:dyDescent="0.25">
      <c r="B17133" s="1"/>
    </row>
    <row r="17134" spans="2:2" x14ac:dyDescent="0.25">
      <c r="B17134" s="1"/>
    </row>
    <row r="17135" spans="2:2" x14ac:dyDescent="0.25">
      <c r="B17135" s="1"/>
    </row>
    <row r="17136" spans="2:2" x14ac:dyDescent="0.25">
      <c r="B17136" s="1"/>
    </row>
    <row r="17137" spans="2:2" x14ac:dyDescent="0.25">
      <c r="B17137" s="1"/>
    </row>
    <row r="17138" spans="2:2" x14ac:dyDescent="0.25">
      <c r="B17138" s="1"/>
    </row>
    <row r="17139" spans="2:2" x14ac:dyDescent="0.25">
      <c r="B17139" s="1"/>
    </row>
    <row r="17140" spans="2:2" x14ac:dyDescent="0.25">
      <c r="B17140" s="1"/>
    </row>
    <row r="17141" spans="2:2" x14ac:dyDescent="0.25">
      <c r="B17141" s="1"/>
    </row>
    <row r="17142" spans="2:2" x14ac:dyDescent="0.25">
      <c r="B17142" s="1"/>
    </row>
    <row r="17143" spans="2:2" x14ac:dyDescent="0.25">
      <c r="B17143" s="1"/>
    </row>
    <row r="17144" spans="2:2" x14ac:dyDescent="0.25">
      <c r="B17144" s="1"/>
    </row>
    <row r="17145" spans="2:2" x14ac:dyDescent="0.25">
      <c r="B17145" s="1"/>
    </row>
    <row r="17146" spans="2:2" x14ac:dyDescent="0.25">
      <c r="B17146" s="1"/>
    </row>
    <row r="17147" spans="2:2" x14ac:dyDescent="0.25">
      <c r="B17147" s="1"/>
    </row>
    <row r="17148" spans="2:2" x14ac:dyDescent="0.25">
      <c r="B17148" s="1"/>
    </row>
    <row r="17149" spans="2:2" x14ac:dyDescent="0.25">
      <c r="B17149" s="1"/>
    </row>
    <row r="17150" spans="2:2" x14ac:dyDescent="0.25">
      <c r="B17150" s="1"/>
    </row>
    <row r="17151" spans="2:2" x14ac:dyDescent="0.25">
      <c r="B17151" s="1"/>
    </row>
    <row r="17152" spans="2:2" x14ac:dyDescent="0.25">
      <c r="B17152" s="1"/>
    </row>
    <row r="17153" spans="2:2" x14ac:dyDescent="0.25">
      <c r="B17153" s="1"/>
    </row>
    <row r="17154" spans="2:2" x14ac:dyDescent="0.25">
      <c r="B17154" s="1"/>
    </row>
    <row r="17155" spans="2:2" x14ac:dyDescent="0.25">
      <c r="B17155" s="1"/>
    </row>
    <row r="17156" spans="2:2" x14ac:dyDescent="0.25">
      <c r="B17156" s="1"/>
    </row>
    <row r="17157" spans="2:2" x14ac:dyDescent="0.25">
      <c r="B17157" s="1"/>
    </row>
    <row r="17158" spans="2:2" x14ac:dyDescent="0.25">
      <c r="B17158" s="1"/>
    </row>
    <row r="17159" spans="2:2" x14ac:dyDescent="0.25">
      <c r="B17159" s="1"/>
    </row>
    <row r="17160" spans="2:2" x14ac:dyDescent="0.25">
      <c r="B17160" s="1"/>
    </row>
    <row r="17161" spans="2:2" x14ac:dyDescent="0.25">
      <c r="B17161" s="1"/>
    </row>
    <row r="17162" spans="2:2" x14ac:dyDescent="0.25">
      <c r="B17162" s="1"/>
    </row>
    <row r="17163" spans="2:2" x14ac:dyDescent="0.25">
      <c r="B17163" s="1"/>
    </row>
    <row r="17164" spans="2:2" x14ac:dyDescent="0.25">
      <c r="B17164" s="1"/>
    </row>
    <row r="17165" spans="2:2" x14ac:dyDescent="0.25">
      <c r="B17165" s="1"/>
    </row>
    <row r="17166" spans="2:2" x14ac:dyDescent="0.25">
      <c r="B17166" s="1"/>
    </row>
    <row r="17167" spans="2:2" x14ac:dyDescent="0.25">
      <c r="B17167" s="1"/>
    </row>
    <row r="17168" spans="2:2" x14ac:dyDescent="0.25">
      <c r="B17168" s="1"/>
    </row>
    <row r="17169" spans="2:2" x14ac:dyDescent="0.25">
      <c r="B17169" s="1"/>
    </row>
    <row r="17170" spans="2:2" x14ac:dyDescent="0.25">
      <c r="B17170" s="1"/>
    </row>
    <row r="17171" spans="2:2" x14ac:dyDescent="0.25">
      <c r="B17171" s="1"/>
    </row>
    <row r="17172" spans="2:2" x14ac:dyDescent="0.25">
      <c r="B17172" s="1"/>
    </row>
    <row r="17173" spans="2:2" x14ac:dyDescent="0.25">
      <c r="B17173" s="1"/>
    </row>
    <row r="17174" spans="2:2" x14ac:dyDescent="0.25">
      <c r="B17174" s="1"/>
    </row>
    <row r="17175" spans="2:2" x14ac:dyDescent="0.25">
      <c r="B17175" s="1"/>
    </row>
    <row r="17176" spans="2:2" x14ac:dyDescent="0.25">
      <c r="B17176" s="1"/>
    </row>
    <row r="17177" spans="2:2" x14ac:dyDescent="0.25">
      <c r="B17177" s="1"/>
    </row>
    <row r="17178" spans="2:2" x14ac:dyDescent="0.25">
      <c r="B17178" s="1"/>
    </row>
    <row r="17179" spans="2:2" x14ac:dyDescent="0.25">
      <c r="B17179" s="1"/>
    </row>
    <row r="17180" spans="2:2" x14ac:dyDescent="0.25">
      <c r="B17180" s="1"/>
    </row>
    <row r="17181" spans="2:2" x14ac:dyDescent="0.25">
      <c r="B17181" s="1"/>
    </row>
    <row r="17182" spans="2:2" x14ac:dyDescent="0.25">
      <c r="B17182" s="1"/>
    </row>
    <row r="17183" spans="2:2" x14ac:dyDescent="0.25">
      <c r="B17183" s="1"/>
    </row>
    <row r="17184" spans="2:2" x14ac:dyDescent="0.25">
      <c r="B17184" s="1"/>
    </row>
    <row r="17185" spans="2:2" x14ac:dyDescent="0.25">
      <c r="B17185" s="1"/>
    </row>
    <row r="17186" spans="2:2" x14ac:dyDescent="0.25">
      <c r="B17186" s="1"/>
    </row>
    <row r="17187" spans="2:2" x14ac:dyDescent="0.25">
      <c r="B17187" s="1"/>
    </row>
    <row r="17188" spans="2:2" x14ac:dyDescent="0.25">
      <c r="B17188" s="1"/>
    </row>
    <row r="17189" spans="2:2" x14ac:dyDescent="0.25">
      <c r="B17189" s="1"/>
    </row>
    <row r="17190" spans="2:2" x14ac:dyDescent="0.25">
      <c r="B17190" s="1"/>
    </row>
    <row r="17191" spans="2:2" x14ac:dyDescent="0.25">
      <c r="B17191" s="1"/>
    </row>
    <row r="17192" spans="2:2" x14ac:dyDescent="0.25">
      <c r="B17192" s="1"/>
    </row>
    <row r="17193" spans="2:2" x14ac:dyDescent="0.25">
      <c r="B17193" s="1"/>
    </row>
    <row r="17194" spans="2:2" x14ac:dyDescent="0.25">
      <c r="B17194" s="1"/>
    </row>
    <row r="17195" spans="2:2" x14ac:dyDescent="0.25">
      <c r="B17195" s="1"/>
    </row>
    <row r="17196" spans="2:2" x14ac:dyDescent="0.25">
      <c r="B17196" s="1"/>
    </row>
    <row r="17197" spans="2:2" x14ac:dyDescent="0.25">
      <c r="B17197" s="1"/>
    </row>
    <row r="17198" spans="2:2" x14ac:dyDescent="0.25">
      <c r="B17198" s="1"/>
    </row>
    <row r="17199" spans="2:2" x14ac:dyDescent="0.25">
      <c r="B17199" s="1"/>
    </row>
    <row r="17200" spans="2:2" x14ac:dyDescent="0.25">
      <c r="B17200" s="1"/>
    </row>
    <row r="17201" spans="2:2" x14ac:dyDescent="0.25">
      <c r="B17201" s="1"/>
    </row>
    <row r="17202" spans="2:2" x14ac:dyDescent="0.25">
      <c r="B17202" s="1"/>
    </row>
    <row r="17203" spans="2:2" x14ac:dyDescent="0.25">
      <c r="B17203" s="1"/>
    </row>
    <row r="17204" spans="2:2" x14ac:dyDescent="0.25">
      <c r="B17204" s="1"/>
    </row>
    <row r="17205" spans="2:2" x14ac:dyDescent="0.25">
      <c r="B17205" s="1"/>
    </row>
    <row r="17206" spans="2:2" x14ac:dyDescent="0.25">
      <c r="B17206" s="1"/>
    </row>
    <row r="17207" spans="2:2" x14ac:dyDescent="0.25">
      <c r="B17207" s="1"/>
    </row>
    <row r="17208" spans="2:2" x14ac:dyDescent="0.25">
      <c r="B17208" s="1"/>
    </row>
    <row r="17209" spans="2:2" x14ac:dyDescent="0.25">
      <c r="B17209" s="1"/>
    </row>
    <row r="17210" spans="2:2" x14ac:dyDescent="0.25">
      <c r="B17210" s="1"/>
    </row>
    <row r="17211" spans="2:2" x14ac:dyDescent="0.25">
      <c r="B17211" s="1"/>
    </row>
    <row r="17212" spans="2:2" x14ac:dyDescent="0.25">
      <c r="B17212" s="1"/>
    </row>
    <row r="17213" spans="2:2" x14ac:dyDescent="0.25">
      <c r="B17213" s="1"/>
    </row>
    <row r="17214" spans="2:2" x14ac:dyDescent="0.25">
      <c r="B17214" s="1"/>
    </row>
    <row r="17215" spans="2:2" x14ac:dyDescent="0.25">
      <c r="B17215" s="1"/>
    </row>
    <row r="17216" spans="2:2" x14ac:dyDescent="0.25">
      <c r="B17216" s="1"/>
    </row>
    <row r="17217" spans="2:2" x14ac:dyDescent="0.25">
      <c r="B17217" s="1"/>
    </row>
    <row r="17218" spans="2:2" x14ac:dyDescent="0.25">
      <c r="B17218" s="1"/>
    </row>
    <row r="17219" spans="2:2" x14ac:dyDescent="0.25">
      <c r="B17219" s="1"/>
    </row>
    <row r="17220" spans="2:2" x14ac:dyDescent="0.25">
      <c r="B17220" s="1"/>
    </row>
    <row r="17221" spans="2:2" x14ac:dyDescent="0.25">
      <c r="B17221" s="1"/>
    </row>
    <row r="17222" spans="2:2" x14ac:dyDescent="0.25">
      <c r="B17222" s="1"/>
    </row>
    <row r="17223" spans="2:2" x14ac:dyDescent="0.25">
      <c r="B17223" s="1"/>
    </row>
    <row r="17224" spans="2:2" x14ac:dyDescent="0.25">
      <c r="B17224" s="1"/>
    </row>
    <row r="17225" spans="2:2" x14ac:dyDescent="0.25">
      <c r="B17225" s="1"/>
    </row>
    <row r="17226" spans="2:2" x14ac:dyDescent="0.25">
      <c r="B17226" s="1"/>
    </row>
    <row r="17227" spans="2:2" x14ac:dyDescent="0.25">
      <c r="B17227" s="1"/>
    </row>
    <row r="17228" spans="2:2" x14ac:dyDescent="0.25">
      <c r="B17228" s="1"/>
    </row>
    <row r="17229" spans="2:2" x14ac:dyDescent="0.25">
      <c r="B17229" s="1"/>
    </row>
    <row r="17230" spans="2:2" x14ac:dyDescent="0.25">
      <c r="B17230" s="1"/>
    </row>
    <row r="17231" spans="2:2" x14ac:dyDescent="0.25">
      <c r="B17231" s="1"/>
    </row>
    <row r="17232" spans="2:2" x14ac:dyDescent="0.25">
      <c r="B17232" s="1"/>
    </row>
    <row r="17233" spans="2:2" x14ac:dyDescent="0.25">
      <c r="B17233" s="1"/>
    </row>
    <row r="17234" spans="2:2" x14ac:dyDescent="0.25">
      <c r="B17234" s="1"/>
    </row>
    <row r="17235" spans="2:2" x14ac:dyDescent="0.25">
      <c r="B17235" s="1"/>
    </row>
    <row r="17236" spans="2:2" x14ac:dyDescent="0.25">
      <c r="B17236" s="1"/>
    </row>
    <row r="17237" spans="2:2" x14ac:dyDescent="0.25">
      <c r="B17237" s="1"/>
    </row>
    <row r="17238" spans="2:2" x14ac:dyDescent="0.25">
      <c r="B17238" s="1"/>
    </row>
    <row r="17239" spans="2:2" x14ac:dyDescent="0.25">
      <c r="B17239" s="1"/>
    </row>
    <row r="17240" spans="2:2" x14ac:dyDescent="0.25">
      <c r="B17240" s="1"/>
    </row>
    <row r="17241" spans="2:2" x14ac:dyDescent="0.25">
      <c r="B17241" s="1"/>
    </row>
    <row r="17242" spans="2:2" x14ac:dyDescent="0.25">
      <c r="B17242" s="1"/>
    </row>
    <row r="17243" spans="2:2" x14ac:dyDescent="0.25">
      <c r="B17243" s="1"/>
    </row>
    <row r="17244" spans="2:2" x14ac:dyDescent="0.25">
      <c r="B17244" s="1"/>
    </row>
    <row r="17245" spans="2:2" x14ac:dyDescent="0.25">
      <c r="B17245" s="1"/>
    </row>
    <row r="17246" spans="2:2" x14ac:dyDescent="0.25">
      <c r="B17246" s="1"/>
    </row>
    <row r="17247" spans="2:2" x14ac:dyDescent="0.25">
      <c r="B17247" s="1"/>
    </row>
    <row r="17248" spans="2:2" x14ac:dyDescent="0.25">
      <c r="B17248" s="1"/>
    </row>
    <row r="17249" spans="2:2" x14ac:dyDescent="0.25">
      <c r="B17249" s="1"/>
    </row>
    <row r="17250" spans="2:2" x14ac:dyDescent="0.25">
      <c r="B17250" s="1"/>
    </row>
    <row r="17251" spans="2:2" x14ac:dyDescent="0.25">
      <c r="B17251" s="1"/>
    </row>
    <row r="17252" spans="2:2" x14ac:dyDescent="0.25">
      <c r="B17252" s="1"/>
    </row>
    <row r="17253" spans="2:2" x14ac:dyDescent="0.25">
      <c r="B17253" s="1"/>
    </row>
    <row r="17254" spans="2:2" x14ac:dyDescent="0.25">
      <c r="B17254" s="1"/>
    </row>
    <row r="17255" spans="2:2" x14ac:dyDescent="0.25">
      <c r="B17255" s="1"/>
    </row>
    <row r="17256" spans="2:2" x14ac:dyDescent="0.25">
      <c r="B17256" s="1"/>
    </row>
    <row r="17257" spans="2:2" x14ac:dyDescent="0.25">
      <c r="B17257" s="1"/>
    </row>
    <row r="17258" spans="2:2" x14ac:dyDescent="0.25">
      <c r="B17258" s="1"/>
    </row>
    <row r="17259" spans="2:2" x14ac:dyDescent="0.25">
      <c r="B17259" s="1"/>
    </row>
    <row r="17260" spans="2:2" x14ac:dyDescent="0.25">
      <c r="B17260" s="1"/>
    </row>
    <row r="17261" spans="2:2" x14ac:dyDescent="0.25">
      <c r="B17261" s="1"/>
    </row>
    <row r="17262" spans="2:2" x14ac:dyDescent="0.25">
      <c r="B17262" s="1"/>
    </row>
    <row r="17263" spans="2:2" x14ac:dyDescent="0.25">
      <c r="B17263" s="1"/>
    </row>
    <row r="17264" spans="2:2" x14ac:dyDescent="0.25">
      <c r="B17264" s="1"/>
    </row>
    <row r="17265" spans="2:2" x14ac:dyDescent="0.25">
      <c r="B17265" s="1"/>
    </row>
    <row r="17266" spans="2:2" x14ac:dyDescent="0.25">
      <c r="B17266" s="1"/>
    </row>
    <row r="17267" spans="2:2" x14ac:dyDescent="0.25">
      <c r="B17267" s="1"/>
    </row>
    <row r="17268" spans="2:2" x14ac:dyDescent="0.25">
      <c r="B17268" s="1"/>
    </row>
    <row r="17269" spans="2:2" x14ac:dyDescent="0.25">
      <c r="B17269" s="1"/>
    </row>
    <row r="17270" spans="2:2" x14ac:dyDescent="0.25">
      <c r="B17270" s="1"/>
    </row>
    <row r="17271" spans="2:2" x14ac:dyDescent="0.25">
      <c r="B17271" s="1"/>
    </row>
    <row r="17272" spans="2:2" x14ac:dyDescent="0.25">
      <c r="B17272" s="1"/>
    </row>
    <row r="17273" spans="2:2" x14ac:dyDescent="0.25">
      <c r="B17273" s="1"/>
    </row>
    <row r="17274" spans="2:2" x14ac:dyDescent="0.25">
      <c r="B17274" s="1"/>
    </row>
    <row r="17275" spans="2:2" x14ac:dyDescent="0.25">
      <c r="B17275" s="1"/>
    </row>
    <row r="17276" spans="2:2" x14ac:dyDescent="0.25">
      <c r="B17276" s="1"/>
    </row>
    <row r="17277" spans="2:2" x14ac:dyDescent="0.25">
      <c r="B17277" s="1"/>
    </row>
    <row r="17278" spans="2:2" x14ac:dyDescent="0.25">
      <c r="B17278" s="1"/>
    </row>
    <row r="17279" spans="2:2" x14ac:dyDescent="0.25">
      <c r="B17279" s="1"/>
    </row>
    <row r="17280" spans="2:2" x14ac:dyDescent="0.25">
      <c r="B17280" s="1"/>
    </row>
    <row r="17281" spans="2:2" x14ac:dyDescent="0.25">
      <c r="B17281" s="1"/>
    </row>
    <row r="17282" spans="2:2" x14ac:dyDescent="0.25">
      <c r="B17282" s="1"/>
    </row>
    <row r="17283" spans="2:2" x14ac:dyDescent="0.25">
      <c r="B17283" s="1"/>
    </row>
    <row r="17284" spans="2:2" x14ac:dyDescent="0.25">
      <c r="B17284" s="1"/>
    </row>
    <row r="17285" spans="2:2" x14ac:dyDescent="0.25">
      <c r="B17285" s="1"/>
    </row>
    <row r="17286" spans="2:2" x14ac:dyDescent="0.25">
      <c r="B17286" s="1"/>
    </row>
    <row r="17287" spans="2:2" x14ac:dyDescent="0.25">
      <c r="B17287" s="1"/>
    </row>
    <row r="17288" spans="2:2" x14ac:dyDescent="0.25">
      <c r="B17288" s="1"/>
    </row>
    <row r="17289" spans="2:2" x14ac:dyDescent="0.25">
      <c r="B17289" s="1"/>
    </row>
    <row r="17290" spans="2:2" x14ac:dyDescent="0.25">
      <c r="B17290" s="1"/>
    </row>
    <row r="17291" spans="2:2" x14ac:dyDescent="0.25">
      <c r="B17291" s="1"/>
    </row>
    <row r="17292" spans="2:2" x14ac:dyDescent="0.25">
      <c r="B17292" s="1"/>
    </row>
    <row r="17293" spans="2:2" x14ac:dyDescent="0.25">
      <c r="B17293" s="1"/>
    </row>
    <row r="17294" spans="2:2" x14ac:dyDescent="0.25">
      <c r="B17294" s="1"/>
    </row>
    <row r="17295" spans="2:2" x14ac:dyDescent="0.25">
      <c r="B17295" s="1"/>
    </row>
    <row r="17296" spans="2:2" x14ac:dyDescent="0.25">
      <c r="B17296" s="1"/>
    </row>
    <row r="17297" spans="2:2" x14ac:dyDescent="0.25">
      <c r="B17297" s="1"/>
    </row>
    <row r="17298" spans="2:2" x14ac:dyDescent="0.25">
      <c r="B17298" s="1"/>
    </row>
    <row r="17299" spans="2:2" x14ac:dyDescent="0.25">
      <c r="B17299" s="1"/>
    </row>
    <row r="17300" spans="2:2" x14ac:dyDescent="0.25">
      <c r="B17300" s="1"/>
    </row>
    <row r="17301" spans="2:2" x14ac:dyDescent="0.25">
      <c r="B17301" s="1"/>
    </row>
    <row r="17302" spans="2:2" x14ac:dyDescent="0.25">
      <c r="B17302" s="1"/>
    </row>
    <row r="17303" spans="2:2" x14ac:dyDescent="0.25">
      <c r="B17303" s="1"/>
    </row>
    <row r="17304" spans="2:2" x14ac:dyDescent="0.25">
      <c r="B17304" s="1"/>
    </row>
    <row r="17305" spans="2:2" x14ac:dyDescent="0.25">
      <c r="B17305" s="1"/>
    </row>
    <row r="17306" spans="2:2" x14ac:dyDescent="0.25">
      <c r="B17306" s="1"/>
    </row>
    <row r="17307" spans="2:2" x14ac:dyDescent="0.25">
      <c r="B17307" s="1"/>
    </row>
    <row r="17308" spans="2:2" x14ac:dyDescent="0.25">
      <c r="B17308" s="1"/>
    </row>
    <row r="17309" spans="2:2" x14ac:dyDescent="0.25">
      <c r="B17309" s="1"/>
    </row>
    <row r="17310" spans="2:2" x14ac:dyDescent="0.25">
      <c r="B17310" s="1"/>
    </row>
    <row r="17311" spans="2:2" x14ac:dyDescent="0.25">
      <c r="B17311" s="1"/>
    </row>
    <row r="17312" spans="2:2" x14ac:dyDescent="0.25">
      <c r="B17312" s="1"/>
    </row>
    <row r="17313" spans="2:2" x14ac:dyDescent="0.25">
      <c r="B17313" s="1"/>
    </row>
    <row r="17314" spans="2:2" x14ac:dyDescent="0.25">
      <c r="B17314" s="1"/>
    </row>
    <row r="17315" spans="2:2" x14ac:dyDescent="0.25">
      <c r="B17315" s="1"/>
    </row>
    <row r="17316" spans="2:2" x14ac:dyDescent="0.25">
      <c r="B17316" s="1"/>
    </row>
    <row r="17317" spans="2:2" x14ac:dyDescent="0.25">
      <c r="B17317" s="1"/>
    </row>
    <row r="17318" spans="2:2" x14ac:dyDescent="0.25">
      <c r="B17318" s="1"/>
    </row>
    <row r="17319" spans="2:2" x14ac:dyDescent="0.25">
      <c r="B17319" s="1"/>
    </row>
    <row r="17320" spans="2:2" x14ac:dyDescent="0.25">
      <c r="B17320" s="1"/>
    </row>
    <row r="17321" spans="2:2" x14ac:dyDescent="0.25">
      <c r="B17321" s="1"/>
    </row>
    <row r="17322" spans="2:2" x14ac:dyDescent="0.25">
      <c r="B17322" s="1"/>
    </row>
    <row r="17323" spans="2:2" x14ac:dyDescent="0.25">
      <c r="B17323" s="1"/>
    </row>
    <row r="17324" spans="2:2" x14ac:dyDescent="0.25">
      <c r="B17324" s="1"/>
    </row>
    <row r="17325" spans="2:2" x14ac:dyDescent="0.25">
      <c r="B17325" s="1"/>
    </row>
    <row r="17326" spans="2:2" x14ac:dyDescent="0.25">
      <c r="B17326" s="1"/>
    </row>
    <row r="17327" spans="2:2" x14ac:dyDescent="0.25">
      <c r="B17327" s="1"/>
    </row>
    <row r="17328" spans="2:2" x14ac:dyDescent="0.25">
      <c r="B17328" s="1"/>
    </row>
    <row r="17329" spans="2:2" x14ac:dyDescent="0.25">
      <c r="B17329" s="1"/>
    </row>
    <row r="17330" spans="2:2" x14ac:dyDescent="0.25">
      <c r="B17330" s="1"/>
    </row>
    <row r="17331" spans="2:2" x14ac:dyDescent="0.25">
      <c r="B17331" s="1"/>
    </row>
    <row r="17332" spans="2:2" x14ac:dyDescent="0.25">
      <c r="B17332" s="1"/>
    </row>
    <row r="17333" spans="2:2" x14ac:dyDescent="0.25">
      <c r="B17333" s="1"/>
    </row>
    <row r="17334" spans="2:2" x14ac:dyDescent="0.25">
      <c r="B17334" s="1"/>
    </row>
    <row r="17335" spans="2:2" x14ac:dyDescent="0.25">
      <c r="B17335" s="1"/>
    </row>
    <row r="17336" spans="2:2" x14ac:dyDescent="0.25">
      <c r="B17336" s="1"/>
    </row>
    <row r="17337" spans="2:2" x14ac:dyDescent="0.25">
      <c r="B17337" s="1"/>
    </row>
    <row r="17338" spans="2:2" x14ac:dyDescent="0.25">
      <c r="B17338" s="1"/>
    </row>
    <row r="17339" spans="2:2" x14ac:dyDescent="0.25">
      <c r="B17339" s="1"/>
    </row>
    <row r="17340" spans="2:2" x14ac:dyDescent="0.25">
      <c r="B17340" s="1"/>
    </row>
    <row r="17341" spans="2:2" x14ac:dyDescent="0.25">
      <c r="B17341" s="1"/>
    </row>
    <row r="17342" spans="2:2" x14ac:dyDescent="0.25">
      <c r="B17342" s="1"/>
    </row>
    <row r="17343" spans="2:2" x14ac:dyDescent="0.25">
      <c r="B17343" s="1"/>
    </row>
    <row r="17344" spans="2:2" x14ac:dyDescent="0.25">
      <c r="B17344" s="1"/>
    </row>
    <row r="17345" spans="2:2" x14ac:dyDescent="0.25">
      <c r="B17345" s="1"/>
    </row>
    <row r="17346" spans="2:2" x14ac:dyDescent="0.25">
      <c r="B17346" s="1"/>
    </row>
    <row r="17347" spans="2:2" x14ac:dyDescent="0.25">
      <c r="B17347" s="1"/>
    </row>
    <row r="17348" spans="2:2" x14ac:dyDescent="0.25">
      <c r="B17348" s="1"/>
    </row>
    <row r="17349" spans="2:2" x14ac:dyDescent="0.25">
      <c r="B17349" s="1"/>
    </row>
    <row r="17350" spans="2:2" x14ac:dyDescent="0.25">
      <c r="B17350" s="1"/>
    </row>
    <row r="17351" spans="2:2" x14ac:dyDescent="0.25">
      <c r="B17351" s="1"/>
    </row>
    <row r="17352" spans="2:2" x14ac:dyDescent="0.25">
      <c r="B17352" s="1"/>
    </row>
    <row r="17353" spans="2:2" x14ac:dyDescent="0.25">
      <c r="B17353" s="1"/>
    </row>
    <row r="17354" spans="2:2" x14ac:dyDescent="0.25">
      <c r="B17354" s="1"/>
    </row>
    <row r="17355" spans="2:2" x14ac:dyDescent="0.25">
      <c r="B17355" s="1"/>
    </row>
    <row r="17356" spans="2:2" x14ac:dyDescent="0.25">
      <c r="B17356" s="1"/>
    </row>
    <row r="17357" spans="2:2" x14ac:dyDescent="0.25">
      <c r="B17357" s="1"/>
    </row>
    <row r="17358" spans="2:2" x14ac:dyDescent="0.25">
      <c r="B17358" s="1"/>
    </row>
    <row r="17359" spans="2:2" x14ac:dyDescent="0.25">
      <c r="B17359" s="1"/>
    </row>
    <row r="17360" spans="2:2" x14ac:dyDescent="0.25">
      <c r="B17360" s="1"/>
    </row>
    <row r="17361" spans="2:2" x14ac:dyDescent="0.25">
      <c r="B17361" s="1"/>
    </row>
    <row r="17362" spans="2:2" x14ac:dyDescent="0.25">
      <c r="B17362" s="1"/>
    </row>
    <row r="17363" spans="2:2" x14ac:dyDescent="0.25">
      <c r="B17363" s="1"/>
    </row>
    <row r="17364" spans="2:2" x14ac:dyDescent="0.25">
      <c r="B17364" s="1"/>
    </row>
    <row r="17365" spans="2:2" x14ac:dyDescent="0.25">
      <c r="B17365" s="1"/>
    </row>
    <row r="17366" spans="2:2" x14ac:dyDescent="0.25">
      <c r="B17366" s="1"/>
    </row>
    <row r="17367" spans="2:2" x14ac:dyDescent="0.25">
      <c r="B17367" s="1"/>
    </row>
    <row r="17368" spans="2:2" x14ac:dyDescent="0.25">
      <c r="B17368" s="1"/>
    </row>
    <row r="17369" spans="2:2" x14ac:dyDescent="0.25">
      <c r="B17369" s="1"/>
    </row>
    <row r="17370" spans="2:2" x14ac:dyDescent="0.25">
      <c r="B17370" s="1"/>
    </row>
    <row r="17371" spans="2:2" x14ac:dyDescent="0.25">
      <c r="B17371" s="1"/>
    </row>
    <row r="17372" spans="2:2" x14ac:dyDescent="0.25">
      <c r="B17372" s="1"/>
    </row>
    <row r="17373" spans="2:2" x14ac:dyDescent="0.25">
      <c r="B17373" s="1"/>
    </row>
    <row r="17374" spans="2:2" x14ac:dyDescent="0.25">
      <c r="B17374" s="1"/>
    </row>
    <row r="17375" spans="2:2" x14ac:dyDescent="0.25">
      <c r="B17375" s="1"/>
    </row>
    <row r="17376" spans="2:2" x14ac:dyDescent="0.25">
      <c r="B17376" s="1"/>
    </row>
    <row r="17377" spans="2:2" x14ac:dyDescent="0.25">
      <c r="B17377" s="1"/>
    </row>
    <row r="17378" spans="2:2" x14ac:dyDescent="0.25">
      <c r="B17378" s="1"/>
    </row>
    <row r="17379" spans="2:2" x14ac:dyDescent="0.25">
      <c r="B17379" s="1"/>
    </row>
    <row r="17380" spans="2:2" x14ac:dyDescent="0.25">
      <c r="B17380" s="1"/>
    </row>
    <row r="17381" spans="2:2" x14ac:dyDescent="0.25">
      <c r="B17381" s="1"/>
    </row>
    <row r="17382" spans="2:2" x14ac:dyDescent="0.25">
      <c r="B17382" s="1"/>
    </row>
    <row r="17383" spans="2:2" x14ac:dyDescent="0.25">
      <c r="B17383" s="1"/>
    </row>
    <row r="17384" spans="2:2" x14ac:dyDescent="0.25">
      <c r="B17384" s="1"/>
    </row>
    <row r="17385" spans="2:2" x14ac:dyDescent="0.25">
      <c r="B17385" s="1"/>
    </row>
    <row r="17386" spans="2:2" x14ac:dyDescent="0.25">
      <c r="B17386" s="1"/>
    </row>
    <row r="17387" spans="2:2" x14ac:dyDescent="0.25">
      <c r="B17387" s="1"/>
    </row>
    <row r="17388" spans="2:2" x14ac:dyDescent="0.25">
      <c r="B17388" s="1"/>
    </row>
    <row r="17389" spans="2:2" x14ac:dyDescent="0.25">
      <c r="B17389" s="1"/>
    </row>
    <row r="17390" spans="2:2" x14ac:dyDescent="0.25">
      <c r="B17390" s="1"/>
    </row>
    <row r="17391" spans="2:2" x14ac:dyDescent="0.25">
      <c r="B17391" s="1"/>
    </row>
    <row r="17392" spans="2:2" x14ac:dyDescent="0.25">
      <c r="B17392" s="1"/>
    </row>
    <row r="17393" spans="2:2" x14ac:dyDescent="0.25">
      <c r="B17393" s="1"/>
    </row>
    <row r="17394" spans="2:2" x14ac:dyDescent="0.25">
      <c r="B17394" s="1"/>
    </row>
    <row r="17395" spans="2:2" x14ac:dyDescent="0.25">
      <c r="B17395" s="1"/>
    </row>
    <row r="17396" spans="2:2" x14ac:dyDescent="0.25">
      <c r="B17396" s="1"/>
    </row>
    <row r="17397" spans="2:2" x14ac:dyDescent="0.25">
      <c r="B17397" s="1"/>
    </row>
    <row r="17398" spans="2:2" x14ac:dyDescent="0.25">
      <c r="B17398" s="1"/>
    </row>
    <row r="17399" spans="2:2" x14ac:dyDescent="0.25">
      <c r="B17399" s="1"/>
    </row>
    <row r="17400" spans="2:2" x14ac:dyDescent="0.25">
      <c r="B17400" s="1"/>
    </row>
    <row r="17401" spans="2:2" x14ac:dyDescent="0.25">
      <c r="B17401" s="1"/>
    </row>
    <row r="17402" spans="2:2" x14ac:dyDescent="0.25">
      <c r="B17402" s="1"/>
    </row>
    <row r="17403" spans="2:2" x14ac:dyDescent="0.25">
      <c r="B17403" s="1"/>
    </row>
    <row r="17404" spans="2:2" x14ac:dyDescent="0.25">
      <c r="B17404" s="1"/>
    </row>
    <row r="17405" spans="2:2" x14ac:dyDescent="0.25">
      <c r="B17405" s="1"/>
    </row>
    <row r="17406" spans="2:2" x14ac:dyDescent="0.25">
      <c r="B17406" s="1"/>
    </row>
    <row r="17407" spans="2:2" x14ac:dyDescent="0.25">
      <c r="B17407" s="1"/>
    </row>
    <row r="17408" spans="2:2" x14ac:dyDescent="0.25">
      <c r="B17408" s="1"/>
    </row>
    <row r="17409" spans="2:2" x14ac:dyDescent="0.25">
      <c r="B17409" s="1"/>
    </row>
    <row r="17410" spans="2:2" x14ac:dyDescent="0.25">
      <c r="B17410" s="1"/>
    </row>
    <row r="17411" spans="2:2" x14ac:dyDescent="0.25">
      <c r="B17411" s="1"/>
    </row>
    <row r="17412" spans="2:2" x14ac:dyDescent="0.25">
      <c r="B17412" s="1"/>
    </row>
    <row r="17413" spans="2:2" x14ac:dyDescent="0.25">
      <c r="B17413" s="1"/>
    </row>
    <row r="17414" spans="2:2" x14ac:dyDescent="0.25">
      <c r="B17414" s="1"/>
    </row>
    <row r="17415" spans="2:2" x14ac:dyDescent="0.25">
      <c r="B17415" s="1"/>
    </row>
    <row r="17416" spans="2:2" x14ac:dyDescent="0.25">
      <c r="B17416" s="1"/>
    </row>
    <row r="17417" spans="2:2" x14ac:dyDescent="0.25">
      <c r="B17417" s="1"/>
    </row>
    <row r="17418" spans="2:2" x14ac:dyDescent="0.25">
      <c r="B17418" s="1"/>
    </row>
    <row r="17419" spans="2:2" x14ac:dyDescent="0.25">
      <c r="B17419" s="1"/>
    </row>
    <row r="17420" spans="2:2" x14ac:dyDescent="0.25">
      <c r="B17420" s="1"/>
    </row>
    <row r="17421" spans="2:2" x14ac:dyDescent="0.25">
      <c r="B17421" s="1"/>
    </row>
    <row r="17422" spans="2:2" x14ac:dyDescent="0.25">
      <c r="B17422" s="1"/>
    </row>
    <row r="17423" spans="2:2" x14ac:dyDescent="0.25">
      <c r="B17423" s="1"/>
    </row>
    <row r="17424" spans="2:2" x14ac:dyDescent="0.25">
      <c r="B17424" s="1"/>
    </row>
    <row r="17425" spans="2:2" x14ac:dyDescent="0.25">
      <c r="B17425" s="1"/>
    </row>
    <row r="17426" spans="2:2" x14ac:dyDescent="0.25">
      <c r="B17426" s="1"/>
    </row>
    <row r="17427" spans="2:2" x14ac:dyDescent="0.25">
      <c r="B17427" s="1"/>
    </row>
    <row r="17428" spans="2:2" x14ac:dyDescent="0.25">
      <c r="B17428" s="1"/>
    </row>
    <row r="17429" spans="2:2" x14ac:dyDescent="0.25">
      <c r="B17429" s="1"/>
    </row>
    <row r="17430" spans="2:2" x14ac:dyDescent="0.25">
      <c r="B17430" s="1"/>
    </row>
    <row r="17431" spans="2:2" x14ac:dyDescent="0.25">
      <c r="B17431" s="1"/>
    </row>
    <row r="17432" spans="2:2" x14ac:dyDescent="0.25">
      <c r="B17432" s="1"/>
    </row>
    <row r="17433" spans="2:2" x14ac:dyDescent="0.25">
      <c r="B17433" s="1"/>
    </row>
    <row r="17434" spans="2:2" x14ac:dyDescent="0.25">
      <c r="B17434" s="1"/>
    </row>
    <row r="17435" spans="2:2" x14ac:dyDescent="0.25">
      <c r="B17435" s="1"/>
    </row>
    <row r="17436" spans="2:2" x14ac:dyDescent="0.25">
      <c r="B17436" s="1"/>
    </row>
    <row r="17437" spans="2:2" x14ac:dyDescent="0.25">
      <c r="B17437" s="1"/>
    </row>
    <row r="17438" spans="2:2" x14ac:dyDescent="0.25">
      <c r="B17438" s="1"/>
    </row>
    <row r="17439" spans="2:2" x14ac:dyDescent="0.25">
      <c r="B17439" s="1"/>
    </row>
    <row r="17440" spans="2:2" x14ac:dyDescent="0.25">
      <c r="B17440" s="1"/>
    </row>
    <row r="17441" spans="2:2" x14ac:dyDescent="0.25">
      <c r="B17441" s="1"/>
    </row>
    <row r="17442" spans="2:2" x14ac:dyDescent="0.25">
      <c r="B17442" s="1"/>
    </row>
    <row r="17443" spans="2:2" x14ac:dyDescent="0.25">
      <c r="B17443" s="1"/>
    </row>
    <row r="17444" spans="2:2" x14ac:dyDescent="0.25">
      <c r="B17444" s="1"/>
    </row>
    <row r="17445" spans="2:2" x14ac:dyDescent="0.25">
      <c r="B17445" s="1"/>
    </row>
    <row r="17446" spans="2:2" x14ac:dyDescent="0.25">
      <c r="B17446" s="1"/>
    </row>
    <row r="17447" spans="2:2" x14ac:dyDescent="0.25">
      <c r="B17447" s="1"/>
    </row>
    <row r="17448" spans="2:2" x14ac:dyDescent="0.25">
      <c r="B17448" s="1"/>
    </row>
    <row r="17449" spans="2:2" x14ac:dyDescent="0.25">
      <c r="B17449" s="1"/>
    </row>
    <row r="17450" spans="2:2" x14ac:dyDescent="0.25">
      <c r="B17450" s="1"/>
    </row>
    <row r="17451" spans="2:2" x14ac:dyDescent="0.25">
      <c r="B17451" s="1"/>
    </row>
    <row r="17452" spans="2:2" x14ac:dyDescent="0.25">
      <c r="B17452" s="1"/>
    </row>
    <row r="17453" spans="2:2" x14ac:dyDescent="0.25">
      <c r="B17453" s="1"/>
    </row>
    <row r="17454" spans="2:2" x14ac:dyDescent="0.25">
      <c r="B17454" s="1"/>
    </row>
    <row r="17455" spans="2:2" x14ac:dyDescent="0.25">
      <c r="B17455" s="1"/>
    </row>
    <row r="17456" spans="2:2" x14ac:dyDescent="0.25">
      <c r="B17456" s="1"/>
    </row>
    <row r="17457" spans="2:2" x14ac:dyDescent="0.25">
      <c r="B17457" s="1"/>
    </row>
    <row r="17458" spans="2:2" x14ac:dyDescent="0.25">
      <c r="B17458" s="1"/>
    </row>
    <row r="17459" spans="2:2" x14ac:dyDescent="0.25">
      <c r="B17459" s="1"/>
    </row>
    <row r="17460" spans="2:2" x14ac:dyDescent="0.25">
      <c r="B17460" s="1"/>
    </row>
    <row r="17461" spans="2:2" x14ac:dyDescent="0.25">
      <c r="B17461" s="1"/>
    </row>
    <row r="17462" spans="2:2" x14ac:dyDescent="0.25">
      <c r="B17462" s="1"/>
    </row>
    <row r="17463" spans="2:2" x14ac:dyDescent="0.25">
      <c r="B17463" s="1"/>
    </row>
    <row r="17464" spans="2:2" x14ac:dyDescent="0.25">
      <c r="B17464" s="1"/>
    </row>
    <row r="17465" spans="2:2" x14ac:dyDescent="0.25">
      <c r="B17465" s="1"/>
    </row>
    <row r="17466" spans="2:2" x14ac:dyDescent="0.25">
      <c r="B17466" s="1"/>
    </row>
    <row r="17467" spans="2:2" x14ac:dyDescent="0.25">
      <c r="B17467" s="1"/>
    </row>
    <row r="17468" spans="2:2" x14ac:dyDescent="0.25">
      <c r="B17468" s="1"/>
    </row>
    <row r="17469" spans="2:2" x14ac:dyDescent="0.25">
      <c r="B17469" s="1"/>
    </row>
    <row r="17470" spans="2:2" x14ac:dyDescent="0.25">
      <c r="B17470" s="1"/>
    </row>
    <row r="17471" spans="2:2" x14ac:dyDescent="0.25">
      <c r="B17471" s="1"/>
    </row>
    <row r="17472" spans="2:2" x14ac:dyDescent="0.25">
      <c r="B17472" s="1"/>
    </row>
    <row r="17473" spans="2:2" x14ac:dyDescent="0.25">
      <c r="B17473" s="1"/>
    </row>
    <row r="17474" spans="2:2" x14ac:dyDescent="0.25">
      <c r="B17474" s="1"/>
    </row>
    <row r="17475" spans="2:2" x14ac:dyDescent="0.25">
      <c r="B17475" s="1"/>
    </row>
    <row r="17476" spans="2:2" x14ac:dyDescent="0.25">
      <c r="B17476" s="1"/>
    </row>
    <row r="17477" spans="2:2" x14ac:dyDescent="0.25">
      <c r="B17477" s="1"/>
    </row>
    <row r="17478" spans="2:2" x14ac:dyDescent="0.25">
      <c r="B17478" s="1"/>
    </row>
    <row r="17479" spans="2:2" x14ac:dyDescent="0.25">
      <c r="B17479" s="1"/>
    </row>
    <row r="17480" spans="2:2" x14ac:dyDescent="0.25">
      <c r="B17480" s="1"/>
    </row>
    <row r="17481" spans="2:2" x14ac:dyDescent="0.25">
      <c r="B17481" s="1"/>
    </row>
    <row r="17482" spans="2:2" x14ac:dyDescent="0.25">
      <c r="B17482" s="1"/>
    </row>
    <row r="17483" spans="2:2" x14ac:dyDescent="0.25">
      <c r="B17483" s="1"/>
    </row>
    <row r="17484" spans="2:2" x14ac:dyDescent="0.25">
      <c r="B17484" s="1"/>
    </row>
    <row r="17485" spans="2:2" x14ac:dyDescent="0.25">
      <c r="B17485" s="1"/>
    </row>
    <row r="17486" spans="2:2" x14ac:dyDescent="0.25">
      <c r="B17486" s="1"/>
    </row>
    <row r="17487" spans="2:2" x14ac:dyDescent="0.25">
      <c r="B17487" s="1"/>
    </row>
    <row r="17488" spans="2:2" x14ac:dyDescent="0.25">
      <c r="B17488" s="1"/>
    </row>
    <row r="17489" spans="2:2" x14ac:dyDescent="0.25">
      <c r="B17489" s="1"/>
    </row>
    <row r="17490" spans="2:2" x14ac:dyDescent="0.25">
      <c r="B17490" s="1"/>
    </row>
    <row r="17491" spans="2:2" x14ac:dyDescent="0.25">
      <c r="B17491" s="1"/>
    </row>
    <row r="17492" spans="2:2" x14ac:dyDescent="0.25">
      <c r="B17492" s="1"/>
    </row>
    <row r="17493" spans="2:2" x14ac:dyDescent="0.25">
      <c r="B17493" s="1"/>
    </row>
    <row r="17494" spans="2:2" x14ac:dyDescent="0.25">
      <c r="B17494" s="1"/>
    </row>
    <row r="17495" spans="2:2" x14ac:dyDescent="0.25">
      <c r="B17495" s="1"/>
    </row>
    <row r="17496" spans="2:2" x14ac:dyDescent="0.25">
      <c r="B17496" s="1"/>
    </row>
    <row r="17497" spans="2:2" x14ac:dyDescent="0.25">
      <c r="B17497" s="1"/>
    </row>
    <row r="17498" spans="2:2" x14ac:dyDescent="0.25">
      <c r="B17498" s="1"/>
    </row>
    <row r="17499" spans="2:2" x14ac:dyDescent="0.25">
      <c r="B17499" s="1"/>
    </row>
    <row r="17500" spans="2:2" x14ac:dyDescent="0.25">
      <c r="B17500" s="1"/>
    </row>
    <row r="17501" spans="2:2" x14ac:dyDescent="0.25">
      <c r="B17501" s="1"/>
    </row>
    <row r="17502" spans="2:2" x14ac:dyDescent="0.25">
      <c r="B17502" s="1"/>
    </row>
    <row r="17503" spans="2:2" x14ac:dyDescent="0.25">
      <c r="B17503" s="1"/>
    </row>
    <row r="17504" spans="2:2" x14ac:dyDescent="0.25">
      <c r="B17504" s="1"/>
    </row>
    <row r="17505" spans="2:2" x14ac:dyDescent="0.25">
      <c r="B17505" s="1"/>
    </row>
    <row r="17506" spans="2:2" x14ac:dyDescent="0.25">
      <c r="B17506" s="1"/>
    </row>
    <row r="17507" spans="2:2" x14ac:dyDescent="0.25">
      <c r="B17507" s="1"/>
    </row>
    <row r="17508" spans="2:2" x14ac:dyDescent="0.25">
      <c r="B17508" s="1"/>
    </row>
    <row r="17509" spans="2:2" x14ac:dyDescent="0.25">
      <c r="B17509" s="1"/>
    </row>
    <row r="17510" spans="2:2" x14ac:dyDescent="0.25">
      <c r="B17510" s="1"/>
    </row>
    <row r="17511" spans="2:2" x14ac:dyDescent="0.25">
      <c r="B17511" s="1"/>
    </row>
    <row r="17512" spans="2:2" x14ac:dyDescent="0.25">
      <c r="B17512" s="1"/>
    </row>
    <row r="17513" spans="2:2" x14ac:dyDescent="0.25">
      <c r="B17513" s="1"/>
    </row>
    <row r="17514" spans="2:2" x14ac:dyDescent="0.25">
      <c r="B17514" s="1"/>
    </row>
    <row r="17515" spans="2:2" x14ac:dyDescent="0.25">
      <c r="B17515" s="1"/>
    </row>
    <row r="17516" spans="2:2" x14ac:dyDescent="0.25">
      <c r="B17516" s="1"/>
    </row>
    <row r="17517" spans="2:2" x14ac:dyDescent="0.25">
      <c r="B17517" s="1"/>
    </row>
    <row r="17518" spans="2:2" x14ac:dyDescent="0.25">
      <c r="B17518" s="1"/>
    </row>
    <row r="17519" spans="2:2" x14ac:dyDescent="0.25">
      <c r="B17519" s="1"/>
    </row>
    <row r="17520" spans="2:2" x14ac:dyDescent="0.25">
      <c r="B17520" s="1"/>
    </row>
    <row r="17521" spans="2:2" x14ac:dyDescent="0.25">
      <c r="B17521" s="1"/>
    </row>
    <row r="17522" spans="2:2" x14ac:dyDescent="0.25">
      <c r="B17522" s="1"/>
    </row>
    <row r="17523" spans="2:2" x14ac:dyDescent="0.25">
      <c r="B17523" s="1"/>
    </row>
    <row r="17524" spans="2:2" x14ac:dyDescent="0.25">
      <c r="B17524" s="1"/>
    </row>
    <row r="17525" spans="2:2" x14ac:dyDescent="0.25">
      <c r="B17525" s="1"/>
    </row>
    <row r="17526" spans="2:2" x14ac:dyDescent="0.25">
      <c r="B17526" s="1"/>
    </row>
    <row r="17527" spans="2:2" x14ac:dyDescent="0.25">
      <c r="B17527" s="1"/>
    </row>
    <row r="17528" spans="2:2" x14ac:dyDescent="0.25">
      <c r="B17528" s="1"/>
    </row>
    <row r="17529" spans="2:2" x14ac:dyDescent="0.25">
      <c r="B17529" s="1"/>
    </row>
    <row r="17530" spans="2:2" x14ac:dyDescent="0.25">
      <c r="B17530" s="1"/>
    </row>
    <row r="17531" spans="2:2" x14ac:dyDescent="0.25">
      <c r="B17531" s="1"/>
    </row>
    <row r="17532" spans="2:2" x14ac:dyDescent="0.25">
      <c r="B17532" s="1"/>
    </row>
    <row r="17533" spans="2:2" x14ac:dyDescent="0.25">
      <c r="B17533" s="1"/>
    </row>
    <row r="17534" spans="2:2" x14ac:dyDescent="0.25">
      <c r="B17534" s="1"/>
    </row>
    <row r="17535" spans="2:2" x14ac:dyDescent="0.25">
      <c r="B17535" s="1"/>
    </row>
    <row r="17536" spans="2:2" x14ac:dyDescent="0.25">
      <c r="B17536" s="1"/>
    </row>
    <row r="17537" spans="2:2" x14ac:dyDescent="0.25">
      <c r="B17537" s="1"/>
    </row>
    <row r="17538" spans="2:2" x14ac:dyDescent="0.25">
      <c r="B17538" s="1"/>
    </row>
    <row r="17539" spans="2:2" x14ac:dyDescent="0.25">
      <c r="B17539" s="1"/>
    </row>
    <row r="17540" spans="2:2" x14ac:dyDescent="0.25">
      <c r="B17540" s="1"/>
    </row>
    <row r="17541" spans="2:2" x14ac:dyDescent="0.25">
      <c r="B17541" s="1"/>
    </row>
    <row r="17542" spans="2:2" x14ac:dyDescent="0.25">
      <c r="B17542" s="1"/>
    </row>
    <row r="17543" spans="2:2" x14ac:dyDescent="0.25">
      <c r="B17543" s="1"/>
    </row>
    <row r="17544" spans="2:2" x14ac:dyDescent="0.25">
      <c r="B17544" s="1"/>
    </row>
    <row r="17545" spans="2:2" x14ac:dyDescent="0.25">
      <c r="B17545" s="1"/>
    </row>
    <row r="17546" spans="2:2" x14ac:dyDescent="0.25">
      <c r="B17546" s="1"/>
    </row>
    <row r="17547" spans="2:2" x14ac:dyDescent="0.25">
      <c r="B17547" s="1"/>
    </row>
    <row r="17548" spans="2:2" x14ac:dyDescent="0.25">
      <c r="B17548" s="1"/>
    </row>
    <row r="17549" spans="2:2" x14ac:dyDescent="0.25">
      <c r="B17549" s="1"/>
    </row>
    <row r="17550" spans="2:2" x14ac:dyDescent="0.25">
      <c r="B17550" s="1"/>
    </row>
    <row r="17551" spans="2:2" x14ac:dyDescent="0.25">
      <c r="B17551" s="1"/>
    </row>
    <row r="17552" spans="2:2" x14ac:dyDescent="0.25">
      <c r="B17552" s="1"/>
    </row>
    <row r="17553" spans="2:2" x14ac:dyDescent="0.25">
      <c r="B17553" s="1"/>
    </row>
    <row r="17554" spans="2:2" x14ac:dyDescent="0.25">
      <c r="B17554" s="1"/>
    </row>
    <row r="17555" spans="2:2" x14ac:dyDescent="0.25">
      <c r="B17555" s="1"/>
    </row>
    <row r="17556" spans="2:2" x14ac:dyDescent="0.25">
      <c r="B17556" s="1"/>
    </row>
    <row r="17557" spans="2:2" x14ac:dyDescent="0.25">
      <c r="B17557" s="1"/>
    </row>
    <row r="17558" spans="2:2" x14ac:dyDescent="0.25">
      <c r="B17558" s="1"/>
    </row>
    <row r="17559" spans="2:2" x14ac:dyDescent="0.25">
      <c r="B17559" s="1"/>
    </row>
    <row r="17560" spans="2:2" x14ac:dyDescent="0.25">
      <c r="B17560" s="1"/>
    </row>
    <row r="17561" spans="2:2" x14ac:dyDescent="0.25">
      <c r="B17561" s="1"/>
    </row>
    <row r="17562" spans="2:2" x14ac:dyDescent="0.25">
      <c r="B17562" s="1"/>
    </row>
    <row r="17563" spans="2:2" x14ac:dyDescent="0.25">
      <c r="B17563" s="1"/>
    </row>
    <row r="17564" spans="2:2" x14ac:dyDescent="0.25">
      <c r="B17564" s="1"/>
    </row>
    <row r="17565" spans="2:2" x14ac:dyDescent="0.25">
      <c r="B17565" s="1"/>
    </row>
    <row r="17566" spans="2:2" x14ac:dyDescent="0.25">
      <c r="B17566" s="1"/>
    </row>
    <row r="17567" spans="2:2" x14ac:dyDescent="0.25">
      <c r="B17567" s="1"/>
    </row>
    <row r="17568" spans="2:2" x14ac:dyDescent="0.25">
      <c r="B17568" s="1"/>
    </row>
    <row r="17569" spans="2:2" x14ac:dyDescent="0.25">
      <c r="B17569" s="1"/>
    </row>
    <row r="17570" spans="2:2" x14ac:dyDescent="0.25">
      <c r="B17570" s="1"/>
    </row>
    <row r="17571" spans="2:2" x14ac:dyDescent="0.25">
      <c r="B17571" s="1"/>
    </row>
    <row r="17572" spans="2:2" x14ac:dyDescent="0.25">
      <c r="B17572" s="1"/>
    </row>
    <row r="17573" spans="2:2" x14ac:dyDescent="0.25">
      <c r="B17573" s="1"/>
    </row>
    <row r="17574" spans="2:2" x14ac:dyDescent="0.25">
      <c r="B17574" s="1"/>
    </row>
    <row r="17575" spans="2:2" x14ac:dyDescent="0.25">
      <c r="B17575" s="1"/>
    </row>
    <row r="17576" spans="2:2" x14ac:dyDescent="0.25">
      <c r="B17576" s="1"/>
    </row>
    <row r="17577" spans="2:2" x14ac:dyDescent="0.25">
      <c r="B17577" s="1"/>
    </row>
    <row r="17578" spans="2:2" x14ac:dyDescent="0.25">
      <c r="B17578" s="1"/>
    </row>
    <row r="17579" spans="2:2" x14ac:dyDescent="0.25">
      <c r="B17579" s="1"/>
    </row>
    <row r="17580" spans="2:2" x14ac:dyDescent="0.25">
      <c r="B17580" s="1"/>
    </row>
    <row r="17581" spans="2:2" x14ac:dyDescent="0.25">
      <c r="B17581" s="1"/>
    </row>
    <row r="17582" spans="2:2" x14ac:dyDescent="0.25">
      <c r="B17582" s="1"/>
    </row>
    <row r="17583" spans="2:2" x14ac:dyDescent="0.25">
      <c r="B17583" s="1"/>
    </row>
    <row r="17584" spans="2:2" x14ac:dyDescent="0.25">
      <c r="B17584" s="1"/>
    </row>
    <row r="17585" spans="2:2" x14ac:dyDescent="0.25">
      <c r="B17585" s="1"/>
    </row>
    <row r="17586" spans="2:2" x14ac:dyDescent="0.25">
      <c r="B17586" s="1"/>
    </row>
    <row r="17587" spans="2:2" x14ac:dyDescent="0.25">
      <c r="B17587" s="1"/>
    </row>
    <row r="17588" spans="2:2" x14ac:dyDescent="0.25">
      <c r="B17588" s="1"/>
    </row>
    <row r="17589" spans="2:2" x14ac:dyDescent="0.25">
      <c r="B17589" s="1"/>
    </row>
    <row r="17590" spans="2:2" x14ac:dyDescent="0.25">
      <c r="B17590" s="1"/>
    </row>
    <row r="17591" spans="2:2" x14ac:dyDescent="0.25">
      <c r="B17591" s="1"/>
    </row>
    <row r="17592" spans="2:2" x14ac:dyDescent="0.25">
      <c r="B17592" s="1"/>
    </row>
    <row r="17593" spans="2:2" x14ac:dyDescent="0.25">
      <c r="B17593" s="1"/>
    </row>
    <row r="17594" spans="2:2" x14ac:dyDescent="0.25">
      <c r="B17594" s="1"/>
    </row>
    <row r="17595" spans="2:2" x14ac:dyDescent="0.25">
      <c r="B17595" s="1"/>
    </row>
    <row r="17596" spans="2:2" x14ac:dyDescent="0.25">
      <c r="B17596" s="1"/>
    </row>
    <row r="17597" spans="2:2" x14ac:dyDescent="0.25">
      <c r="B17597" s="1"/>
    </row>
    <row r="17598" spans="2:2" x14ac:dyDescent="0.25">
      <c r="B17598" s="1"/>
    </row>
    <row r="17599" spans="2:2" x14ac:dyDescent="0.25">
      <c r="B17599" s="1"/>
    </row>
    <row r="17600" spans="2:2" x14ac:dyDescent="0.25">
      <c r="B17600" s="1"/>
    </row>
    <row r="17601" spans="2:2" x14ac:dyDescent="0.25">
      <c r="B17601" s="1"/>
    </row>
    <row r="17602" spans="2:2" x14ac:dyDescent="0.25">
      <c r="B17602" s="1"/>
    </row>
    <row r="17603" spans="2:2" x14ac:dyDescent="0.25">
      <c r="B17603" s="1"/>
    </row>
    <row r="17604" spans="2:2" x14ac:dyDescent="0.25">
      <c r="B17604" s="1"/>
    </row>
    <row r="17605" spans="2:2" x14ac:dyDescent="0.25">
      <c r="B17605" s="1"/>
    </row>
    <row r="17606" spans="2:2" x14ac:dyDescent="0.25">
      <c r="B17606" s="1"/>
    </row>
    <row r="17607" spans="2:2" x14ac:dyDescent="0.25">
      <c r="B17607" s="1"/>
    </row>
    <row r="17608" spans="2:2" x14ac:dyDescent="0.25">
      <c r="B17608" s="1"/>
    </row>
    <row r="17609" spans="2:2" x14ac:dyDescent="0.25">
      <c r="B17609" s="1"/>
    </row>
    <row r="17610" spans="2:2" x14ac:dyDescent="0.25">
      <c r="B17610" s="1"/>
    </row>
    <row r="17611" spans="2:2" x14ac:dyDescent="0.25">
      <c r="B17611" s="1"/>
    </row>
    <row r="17612" spans="2:2" x14ac:dyDescent="0.25">
      <c r="B17612" s="1"/>
    </row>
    <row r="17613" spans="2:2" x14ac:dyDescent="0.25">
      <c r="B17613" s="1"/>
    </row>
    <row r="17614" spans="2:2" x14ac:dyDescent="0.25">
      <c r="B17614" s="1"/>
    </row>
    <row r="17615" spans="2:2" x14ac:dyDescent="0.25">
      <c r="B17615" s="1"/>
    </row>
    <row r="17616" spans="2:2" x14ac:dyDescent="0.25">
      <c r="B17616" s="1"/>
    </row>
    <row r="17617" spans="2:2" x14ac:dyDescent="0.25">
      <c r="B17617" s="1"/>
    </row>
    <row r="17618" spans="2:2" x14ac:dyDescent="0.25">
      <c r="B17618" s="1"/>
    </row>
    <row r="17619" spans="2:2" x14ac:dyDescent="0.25">
      <c r="B17619" s="1"/>
    </row>
    <row r="17620" spans="2:2" x14ac:dyDescent="0.25">
      <c r="B17620" s="1"/>
    </row>
    <row r="17621" spans="2:2" x14ac:dyDescent="0.25">
      <c r="B17621" s="1"/>
    </row>
    <row r="17622" spans="2:2" x14ac:dyDescent="0.25">
      <c r="B17622" s="1"/>
    </row>
    <row r="17623" spans="2:2" x14ac:dyDescent="0.25">
      <c r="B17623" s="1"/>
    </row>
    <row r="17624" spans="2:2" x14ac:dyDescent="0.25">
      <c r="B17624" s="1"/>
    </row>
    <row r="17625" spans="2:2" x14ac:dyDescent="0.25">
      <c r="B17625" s="1"/>
    </row>
    <row r="17626" spans="2:2" x14ac:dyDescent="0.25">
      <c r="B17626" s="1"/>
    </row>
    <row r="17627" spans="2:2" x14ac:dyDescent="0.25">
      <c r="B17627" s="1"/>
    </row>
    <row r="17628" spans="2:2" x14ac:dyDescent="0.25">
      <c r="B17628" s="1"/>
    </row>
    <row r="17629" spans="2:2" x14ac:dyDescent="0.25">
      <c r="B17629" s="1"/>
    </row>
    <row r="17630" spans="2:2" x14ac:dyDescent="0.25">
      <c r="B17630" s="1"/>
    </row>
    <row r="17631" spans="2:2" x14ac:dyDescent="0.25">
      <c r="B17631" s="1"/>
    </row>
    <row r="17632" spans="2:2" x14ac:dyDescent="0.25">
      <c r="B17632" s="1"/>
    </row>
    <row r="17633" spans="2:2" x14ac:dyDescent="0.25">
      <c r="B17633" s="1"/>
    </row>
    <row r="17634" spans="2:2" x14ac:dyDescent="0.25">
      <c r="B17634" s="1"/>
    </row>
    <row r="17635" spans="2:2" x14ac:dyDescent="0.25">
      <c r="B17635" s="1"/>
    </row>
    <row r="17636" spans="2:2" x14ac:dyDescent="0.25">
      <c r="B17636" s="1"/>
    </row>
    <row r="17637" spans="2:2" x14ac:dyDescent="0.25">
      <c r="B17637" s="1"/>
    </row>
    <row r="17638" spans="2:2" x14ac:dyDescent="0.25">
      <c r="B17638" s="1"/>
    </row>
    <row r="17639" spans="2:2" x14ac:dyDescent="0.25">
      <c r="B17639" s="1"/>
    </row>
    <row r="17640" spans="2:2" x14ac:dyDescent="0.25">
      <c r="B17640" s="1"/>
    </row>
    <row r="17641" spans="2:2" x14ac:dyDescent="0.25">
      <c r="B17641" s="1"/>
    </row>
    <row r="17642" spans="2:2" x14ac:dyDescent="0.25">
      <c r="B17642" s="1"/>
    </row>
    <row r="17643" spans="2:2" x14ac:dyDescent="0.25">
      <c r="B17643" s="1"/>
    </row>
    <row r="17644" spans="2:2" x14ac:dyDescent="0.25">
      <c r="B17644" s="1"/>
    </row>
    <row r="17645" spans="2:2" x14ac:dyDescent="0.25">
      <c r="B17645" s="1"/>
    </row>
    <row r="17646" spans="2:2" x14ac:dyDescent="0.25">
      <c r="B17646" s="1"/>
    </row>
    <row r="17647" spans="2:2" x14ac:dyDescent="0.25">
      <c r="B17647" s="1"/>
    </row>
    <row r="17648" spans="2:2" x14ac:dyDescent="0.25">
      <c r="B17648" s="1"/>
    </row>
    <row r="17649" spans="2:2" x14ac:dyDescent="0.25">
      <c r="B17649" s="1"/>
    </row>
    <row r="17650" spans="2:2" x14ac:dyDescent="0.25">
      <c r="B17650" s="1"/>
    </row>
    <row r="17651" spans="2:2" x14ac:dyDescent="0.25">
      <c r="B17651" s="1"/>
    </row>
    <row r="17652" spans="2:2" x14ac:dyDescent="0.25">
      <c r="B17652" s="1"/>
    </row>
    <row r="17653" spans="2:2" x14ac:dyDescent="0.25">
      <c r="B17653" s="1"/>
    </row>
    <row r="17654" spans="2:2" x14ac:dyDescent="0.25">
      <c r="B17654" s="1"/>
    </row>
    <row r="17655" spans="2:2" x14ac:dyDescent="0.25">
      <c r="B17655" s="1"/>
    </row>
    <row r="17656" spans="2:2" x14ac:dyDescent="0.25">
      <c r="B17656" s="1"/>
    </row>
    <row r="17657" spans="2:2" x14ac:dyDescent="0.25">
      <c r="B17657" s="1"/>
    </row>
    <row r="17658" spans="2:2" x14ac:dyDescent="0.25">
      <c r="B17658" s="1"/>
    </row>
    <row r="17659" spans="2:2" x14ac:dyDescent="0.25">
      <c r="B17659" s="1"/>
    </row>
    <row r="17660" spans="2:2" x14ac:dyDescent="0.25">
      <c r="B17660" s="1"/>
    </row>
    <row r="17661" spans="2:2" x14ac:dyDescent="0.25">
      <c r="B17661" s="1"/>
    </row>
    <row r="17662" spans="2:2" x14ac:dyDescent="0.25">
      <c r="B17662" s="1"/>
    </row>
    <row r="17663" spans="2:2" x14ac:dyDescent="0.25">
      <c r="B17663" s="1"/>
    </row>
    <row r="17664" spans="2:2" x14ac:dyDescent="0.25">
      <c r="B17664" s="1"/>
    </row>
    <row r="17665" spans="2:2" x14ac:dyDescent="0.25">
      <c r="B17665" s="1"/>
    </row>
    <row r="17666" spans="2:2" x14ac:dyDescent="0.25">
      <c r="B17666" s="1"/>
    </row>
    <row r="17667" spans="2:2" x14ac:dyDescent="0.25">
      <c r="B17667" s="1"/>
    </row>
    <row r="17668" spans="2:2" x14ac:dyDescent="0.25">
      <c r="B17668" s="1"/>
    </row>
    <row r="17669" spans="2:2" x14ac:dyDescent="0.25">
      <c r="B17669" s="1"/>
    </row>
    <row r="17670" spans="2:2" x14ac:dyDescent="0.25">
      <c r="B17670" s="1"/>
    </row>
    <row r="17671" spans="2:2" x14ac:dyDescent="0.25">
      <c r="B17671" s="1"/>
    </row>
    <row r="17672" spans="2:2" x14ac:dyDescent="0.25">
      <c r="B17672" s="1"/>
    </row>
    <row r="17673" spans="2:2" x14ac:dyDescent="0.25">
      <c r="B17673" s="1"/>
    </row>
    <row r="17674" spans="2:2" x14ac:dyDescent="0.25">
      <c r="B17674" s="1"/>
    </row>
    <row r="17675" spans="2:2" x14ac:dyDescent="0.25">
      <c r="B17675" s="1"/>
    </row>
    <row r="17676" spans="2:2" x14ac:dyDescent="0.25">
      <c r="B17676" s="1"/>
    </row>
    <row r="17677" spans="2:2" x14ac:dyDescent="0.25">
      <c r="B17677" s="1"/>
    </row>
    <row r="17678" spans="2:2" x14ac:dyDescent="0.25">
      <c r="B17678" s="1"/>
    </row>
    <row r="17679" spans="2:2" x14ac:dyDescent="0.25">
      <c r="B17679" s="1"/>
    </row>
    <row r="17680" spans="2:2" x14ac:dyDescent="0.25">
      <c r="B17680" s="1"/>
    </row>
    <row r="17681" spans="2:2" x14ac:dyDescent="0.25">
      <c r="B17681" s="1"/>
    </row>
    <row r="17682" spans="2:2" x14ac:dyDescent="0.25">
      <c r="B17682" s="1"/>
    </row>
    <row r="17683" spans="2:2" x14ac:dyDescent="0.25">
      <c r="B17683" s="1"/>
    </row>
    <row r="17684" spans="2:2" x14ac:dyDescent="0.25">
      <c r="B17684" s="1"/>
    </row>
    <row r="17685" spans="2:2" x14ac:dyDescent="0.25">
      <c r="B17685" s="1"/>
    </row>
    <row r="17686" spans="2:2" x14ac:dyDescent="0.25">
      <c r="B17686" s="1"/>
    </row>
    <row r="17687" spans="2:2" x14ac:dyDescent="0.25">
      <c r="B17687" s="1"/>
    </row>
    <row r="17688" spans="2:2" x14ac:dyDescent="0.25">
      <c r="B17688" s="1"/>
    </row>
    <row r="17689" spans="2:2" x14ac:dyDescent="0.25">
      <c r="B17689" s="1"/>
    </row>
    <row r="17690" spans="2:2" x14ac:dyDescent="0.25">
      <c r="B17690" s="1"/>
    </row>
    <row r="17691" spans="2:2" x14ac:dyDescent="0.25">
      <c r="B17691" s="1"/>
    </row>
    <row r="17692" spans="2:2" x14ac:dyDescent="0.25">
      <c r="B17692" s="1"/>
    </row>
    <row r="17693" spans="2:2" x14ac:dyDescent="0.25">
      <c r="B17693" s="1"/>
    </row>
    <row r="17694" spans="2:2" x14ac:dyDescent="0.25">
      <c r="B17694" s="1"/>
    </row>
    <row r="17695" spans="2:2" x14ac:dyDescent="0.25">
      <c r="B17695" s="1"/>
    </row>
    <row r="17696" spans="2:2" x14ac:dyDescent="0.25">
      <c r="B17696" s="1"/>
    </row>
    <row r="17697" spans="2:2" x14ac:dyDescent="0.25">
      <c r="B17697" s="1"/>
    </row>
    <row r="17698" spans="2:2" x14ac:dyDescent="0.25">
      <c r="B17698" s="1"/>
    </row>
    <row r="17699" spans="2:2" x14ac:dyDescent="0.25">
      <c r="B17699" s="1"/>
    </row>
    <row r="17700" spans="2:2" x14ac:dyDescent="0.25">
      <c r="B17700" s="1"/>
    </row>
    <row r="17701" spans="2:2" x14ac:dyDescent="0.25">
      <c r="B17701" s="1"/>
    </row>
    <row r="17702" spans="2:2" x14ac:dyDescent="0.25">
      <c r="B17702" s="1"/>
    </row>
    <row r="17703" spans="2:2" x14ac:dyDescent="0.25">
      <c r="B17703" s="1"/>
    </row>
    <row r="17704" spans="2:2" x14ac:dyDescent="0.25">
      <c r="B17704" s="1"/>
    </row>
    <row r="17705" spans="2:2" x14ac:dyDescent="0.25">
      <c r="B17705" s="1"/>
    </row>
    <row r="17706" spans="2:2" x14ac:dyDescent="0.25">
      <c r="B17706" s="1"/>
    </row>
    <row r="17707" spans="2:2" x14ac:dyDescent="0.25">
      <c r="B17707" s="1"/>
    </row>
    <row r="17708" spans="2:2" x14ac:dyDescent="0.25">
      <c r="B17708" s="1"/>
    </row>
    <row r="17709" spans="2:2" x14ac:dyDescent="0.25">
      <c r="B17709" s="1"/>
    </row>
    <row r="17710" spans="2:2" x14ac:dyDescent="0.25">
      <c r="B17710" s="1"/>
    </row>
    <row r="17711" spans="2:2" x14ac:dyDescent="0.25">
      <c r="B17711" s="1"/>
    </row>
    <row r="17712" spans="2:2" x14ac:dyDescent="0.25">
      <c r="B17712" s="1"/>
    </row>
    <row r="17713" spans="2:2" x14ac:dyDescent="0.25">
      <c r="B17713" s="1"/>
    </row>
    <row r="17714" spans="2:2" x14ac:dyDescent="0.25">
      <c r="B17714" s="1"/>
    </row>
    <row r="17715" spans="2:2" x14ac:dyDescent="0.25">
      <c r="B17715" s="1"/>
    </row>
    <row r="17716" spans="2:2" x14ac:dyDescent="0.25">
      <c r="B17716" s="1"/>
    </row>
    <row r="17717" spans="2:2" x14ac:dyDescent="0.25">
      <c r="B17717" s="1"/>
    </row>
    <row r="17718" spans="2:2" x14ac:dyDescent="0.25">
      <c r="B17718" s="1"/>
    </row>
    <row r="17719" spans="2:2" x14ac:dyDescent="0.25">
      <c r="B17719" s="1"/>
    </row>
    <row r="17720" spans="2:2" x14ac:dyDescent="0.25">
      <c r="B17720" s="1"/>
    </row>
    <row r="17721" spans="2:2" x14ac:dyDescent="0.25">
      <c r="B17721" s="1"/>
    </row>
    <row r="17722" spans="2:2" x14ac:dyDescent="0.25">
      <c r="B17722" s="1"/>
    </row>
    <row r="17723" spans="2:2" x14ac:dyDescent="0.25">
      <c r="B17723" s="1"/>
    </row>
    <row r="17724" spans="2:2" x14ac:dyDescent="0.25">
      <c r="B17724" s="1"/>
    </row>
    <row r="17725" spans="2:2" x14ac:dyDescent="0.25">
      <c r="B17725" s="1"/>
    </row>
    <row r="17726" spans="2:2" x14ac:dyDescent="0.25">
      <c r="B17726" s="1"/>
    </row>
    <row r="17727" spans="2:2" x14ac:dyDescent="0.25">
      <c r="B17727" s="1"/>
    </row>
    <row r="17728" spans="2:2" x14ac:dyDescent="0.25">
      <c r="B17728" s="1"/>
    </row>
    <row r="17729" spans="2:2" x14ac:dyDescent="0.25">
      <c r="B17729" s="1"/>
    </row>
    <row r="17730" spans="2:2" x14ac:dyDescent="0.25">
      <c r="B17730" s="1"/>
    </row>
    <row r="17731" spans="2:2" x14ac:dyDescent="0.25">
      <c r="B17731" s="1"/>
    </row>
    <row r="17732" spans="2:2" x14ac:dyDescent="0.25">
      <c r="B17732" s="1"/>
    </row>
    <row r="17733" spans="2:2" x14ac:dyDescent="0.25">
      <c r="B17733" s="1"/>
    </row>
    <row r="17734" spans="2:2" x14ac:dyDescent="0.25">
      <c r="B17734" s="1"/>
    </row>
    <row r="17735" spans="2:2" x14ac:dyDescent="0.25">
      <c r="B17735" s="1"/>
    </row>
    <row r="17736" spans="2:2" x14ac:dyDescent="0.25">
      <c r="B17736" s="1"/>
    </row>
    <row r="17737" spans="2:2" x14ac:dyDescent="0.25">
      <c r="B17737" s="1"/>
    </row>
    <row r="17738" spans="2:2" x14ac:dyDescent="0.25">
      <c r="B17738" s="1"/>
    </row>
    <row r="17739" spans="2:2" x14ac:dyDescent="0.25">
      <c r="B17739" s="1"/>
    </row>
    <row r="17740" spans="2:2" x14ac:dyDescent="0.25">
      <c r="B17740" s="1"/>
    </row>
    <row r="17741" spans="2:2" x14ac:dyDescent="0.25">
      <c r="B17741" s="1"/>
    </row>
    <row r="17742" spans="2:2" x14ac:dyDescent="0.25">
      <c r="B17742" s="1"/>
    </row>
    <row r="17743" spans="2:2" x14ac:dyDescent="0.25">
      <c r="B17743" s="1"/>
    </row>
    <row r="17744" spans="2:2" x14ac:dyDescent="0.25">
      <c r="B17744" s="1"/>
    </row>
    <row r="17745" spans="2:2" x14ac:dyDescent="0.25">
      <c r="B17745" s="1"/>
    </row>
    <row r="17746" spans="2:2" x14ac:dyDescent="0.25">
      <c r="B17746" s="1"/>
    </row>
    <row r="17747" spans="2:2" x14ac:dyDescent="0.25">
      <c r="B17747" s="1"/>
    </row>
    <row r="17748" spans="2:2" x14ac:dyDescent="0.25">
      <c r="B17748" s="1"/>
    </row>
    <row r="17749" spans="2:2" x14ac:dyDescent="0.25">
      <c r="B17749" s="1"/>
    </row>
    <row r="17750" spans="2:2" x14ac:dyDescent="0.25">
      <c r="B17750" s="1"/>
    </row>
    <row r="17751" spans="2:2" x14ac:dyDescent="0.25">
      <c r="B17751" s="1"/>
    </row>
    <row r="17752" spans="2:2" x14ac:dyDescent="0.25">
      <c r="B17752" s="1"/>
    </row>
    <row r="17753" spans="2:2" x14ac:dyDescent="0.25">
      <c r="B17753" s="1"/>
    </row>
    <row r="17754" spans="2:2" x14ac:dyDescent="0.25">
      <c r="B17754" s="1"/>
    </row>
    <row r="17755" spans="2:2" x14ac:dyDescent="0.25">
      <c r="B17755" s="1"/>
    </row>
    <row r="17756" spans="2:2" x14ac:dyDescent="0.25">
      <c r="B17756" s="1"/>
    </row>
    <row r="17757" spans="2:2" x14ac:dyDescent="0.25">
      <c r="B17757" s="1"/>
    </row>
    <row r="17758" spans="2:2" x14ac:dyDescent="0.25">
      <c r="B17758" s="1"/>
    </row>
    <row r="17759" spans="2:2" x14ac:dyDescent="0.25">
      <c r="B17759" s="1"/>
    </row>
    <row r="17760" spans="2:2" x14ac:dyDescent="0.25">
      <c r="B17760" s="1"/>
    </row>
    <row r="17761" spans="2:2" x14ac:dyDescent="0.25">
      <c r="B17761" s="1"/>
    </row>
    <row r="17762" spans="2:2" x14ac:dyDescent="0.25">
      <c r="B17762" s="1"/>
    </row>
    <row r="17763" spans="2:2" x14ac:dyDescent="0.25">
      <c r="B17763" s="1"/>
    </row>
    <row r="17764" spans="2:2" x14ac:dyDescent="0.25">
      <c r="B17764" s="1"/>
    </row>
    <row r="17765" spans="2:2" x14ac:dyDescent="0.25">
      <c r="B17765" s="1"/>
    </row>
    <row r="17766" spans="2:2" x14ac:dyDescent="0.25">
      <c r="B17766" s="1"/>
    </row>
    <row r="17767" spans="2:2" x14ac:dyDescent="0.25">
      <c r="B17767" s="1"/>
    </row>
    <row r="17768" spans="2:2" x14ac:dyDescent="0.25">
      <c r="B17768" s="1"/>
    </row>
    <row r="17769" spans="2:2" x14ac:dyDescent="0.25">
      <c r="B17769" s="1"/>
    </row>
    <row r="17770" spans="2:2" x14ac:dyDescent="0.25">
      <c r="B17770" s="1"/>
    </row>
    <row r="17771" spans="2:2" x14ac:dyDescent="0.25">
      <c r="B17771" s="1"/>
    </row>
    <row r="17772" spans="2:2" x14ac:dyDescent="0.25">
      <c r="B17772" s="1"/>
    </row>
    <row r="17773" spans="2:2" x14ac:dyDescent="0.25">
      <c r="B17773" s="1"/>
    </row>
    <row r="17774" spans="2:2" x14ac:dyDescent="0.25">
      <c r="B17774" s="1"/>
    </row>
    <row r="17775" spans="2:2" x14ac:dyDescent="0.25">
      <c r="B17775" s="1"/>
    </row>
    <row r="17776" spans="2:2" x14ac:dyDescent="0.25">
      <c r="B17776" s="1"/>
    </row>
    <row r="17777" spans="2:2" x14ac:dyDescent="0.25">
      <c r="B17777" s="1"/>
    </row>
    <row r="17778" spans="2:2" x14ac:dyDescent="0.25">
      <c r="B17778" s="1"/>
    </row>
    <row r="17779" spans="2:2" x14ac:dyDescent="0.25">
      <c r="B17779" s="1"/>
    </row>
    <row r="17780" spans="2:2" x14ac:dyDescent="0.25">
      <c r="B17780" s="1"/>
    </row>
    <row r="17781" spans="2:2" x14ac:dyDescent="0.25">
      <c r="B17781" s="1"/>
    </row>
    <row r="17782" spans="2:2" x14ac:dyDescent="0.25">
      <c r="B17782" s="1"/>
    </row>
    <row r="17783" spans="2:2" x14ac:dyDescent="0.25">
      <c r="B17783" s="1"/>
    </row>
    <row r="17784" spans="2:2" x14ac:dyDescent="0.25">
      <c r="B17784" s="1"/>
    </row>
    <row r="17785" spans="2:2" x14ac:dyDescent="0.25">
      <c r="B17785" s="1"/>
    </row>
    <row r="17786" spans="2:2" x14ac:dyDescent="0.25">
      <c r="B17786" s="1"/>
    </row>
    <row r="17787" spans="2:2" x14ac:dyDescent="0.25">
      <c r="B17787" s="1"/>
    </row>
    <row r="17788" spans="2:2" x14ac:dyDescent="0.25">
      <c r="B17788" s="1"/>
    </row>
    <row r="17789" spans="2:2" x14ac:dyDescent="0.25">
      <c r="B17789" s="1"/>
    </row>
    <row r="17790" spans="2:2" x14ac:dyDescent="0.25">
      <c r="B17790" s="1"/>
    </row>
    <row r="17791" spans="2:2" x14ac:dyDescent="0.25">
      <c r="B17791" s="1"/>
    </row>
    <row r="17792" spans="2:2" x14ac:dyDescent="0.25">
      <c r="B17792" s="1"/>
    </row>
    <row r="17793" spans="2:2" x14ac:dyDescent="0.25">
      <c r="B17793" s="1"/>
    </row>
    <row r="17794" spans="2:2" x14ac:dyDescent="0.25">
      <c r="B17794" s="1"/>
    </row>
    <row r="17795" spans="2:2" x14ac:dyDescent="0.25">
      <c r="B17795" s="1"/>
    </row>
    <row r="17796" spans="2:2" x14ac:dyDescent="0.25">
      <c r="B17796" s="1"/>
    </row>
    <row r="17797" spans="2:2" x14ac:dyDescent="0.25">
      <c r="B17797" s="1"/>
    </row>
    <row r="17798" spans="2:2" x14ac:dyDescent="0.25">
      <c r="B17798" s="1"/>
    </row>
    <row r="17799" spans="2:2" x14ac:dyDescent="0.25">
      <c r="B17799" s="1"/>
    </row>
    <row r="17800" spans="2:2" x14ac:dyDescent="0.25">
      <c r="B17800" s="1"/>
    </row>
    <row r="17801" spans="2:2" x14ac:dyDescent="0.25">
      <c r="B17801" s="1"/>
    </row>
    <row r="17802" spans="2:2" x14ac:dyDescent="0.25">
      <c r="B17802" s="1"/>
    </row>
    <row r="17803" spans="2:2" x14ac:dyDescent="0.25">
      <c r="B17803" s="1"/>
    </row>
    <row r="17804" spans="2:2" x14ac:dyDescent="0.25">
      <c r="B17804" s="1"/>
    </row>
    <row r="17805" spans="2:2" x14ac:dyDescent="0.25">
      <c r="B17805" s="1"/>
    </row>
    <row r="17806" spans="2:2" x14ac:dyDescent="0.25">
      <c r="B17806" s="1"/>
    </row>
    <row r="17807" spans="2:2" x14ac:dyDescent="0.25">
      <c r="B17807" s="1"/>
    </row>
    <row r="17808" spans="2:2" x14ac:dyDescent="0.25">
      <c r="B17808" s="1"/>
    </row>
    <row r="17809" spans="2:2" x14ac:dyDescent="0.25">
      <c r="B17809" s="1"/>
    </row>
    <row r="17810" spans="2:2" x14ac:dyDescent="0.25">
      <c r="B17810" s="1"/>
    </row>
    <row r="17811" spans="2:2" x14ac:dyDescent="0.25">
      <c r="B17811" s="1"/>
    </row>
    <row r="17812" spans="2:2" x14ac:dyDescent="0.25">
      <c r="B17812" s="1"/>
    </row>
    <row r="17813" spans="2:2" x14ac:dyDescent="0.25">
      <c r="B17813" s="1"/>
    </row>
    <row r="17814" spans="2:2" x14ac:dyDescent="0.25">
      <c r="B17814" s="1"/>
    </row>
    <row r="17815" spans="2:2" x14ac:dyDescent="0.25">
      <c r="B17815" s="1"/>
    </row>
    <row r="17816" spans="2:2" x14ac:dyDescent="0.25">
      <c r="B17816" s="1"/>
    </row>
    <row r="17817" spans="2:2" x14ac:dyDescent="0.25">
      <c r="B17817" s="1"/>
    </row>
    <row r="17818" spans="2:2" x14ac:dyDescent="0.25">
      <c r="B17818" s="1"/>
    </row>
    <row r="17819" spans="2:2" x14ac:dyDescent="0.25">
      <c r="B17819" s="1"/>
    </row>
    <row r="17820" spans="2:2" x14ac:dyDescent="0.25">
      <c r="B17820" s="1"/>
    </row>
    <row r="17821" spans="2:2" x14ac:dyDescent="0.25">
      <c r="B17821" s="1"/>
    </row>
    <row r="17822" spans="2:2" x14ac:dyDescent="0.25">
      <c r="B17822" s="1"/>
    </row>
    <row r="17823" spans="2:2" x14ac:dyDescent="0.25">
      <c r="B17823" s="1"/>
    </row>
    <row r="17824" spans="2:2" x14ac:dyDescent="0.25">
      <c r="B17824" s="1"/>
    </row>
    <row r="17825" spans="2:2" x14ac:dyDescent="0.25">
      <c r="B17825" s="1"/>
    </row>
    <row r="17826" spans="2:2" x14ac:dyDescent="0.25">
      <c r="B17826" s="1"/>
    </row>
    <row r="17827" spans="2:2" x14ac:dyDescent="0.25">
      <c r="B17827" s="1"/>
    </row>
    <row r="17828" spans="2:2" x14ac:dyDescent="0.25">
      <c r="B17828" s="1"/>
    </row>
    <row r="17829" spans="2:2" x14ac:dyDescent="0.25">
      <c r="B17829" s="1"/>
    </row>
    <row r="17830" spans="2:2" x14ac:dyDescent="0.25">
      <c r="B17830" s="1"/>
    </row>
    <row r="17831" spans="2:2" x14ac:dyDescent="0.25">
      <c r="B17831" s="1"/>
    </row>
    <row r="17832" spans="2:2" x14ac:dyDescent="0.25">
      <c r="B17832" s="1"/>
    </row>
    <row r="17833" spans="2:2" x14ac:dyDescent="0.25">
      <c r="B17833" s="1"/>
    </row>
    <row r="17834" spans="2:2" x14ac:dyDescent="0.25">
      <c r="B17834" s="1"/>
    </row>
    <row r="17835" spans="2:2" x14ac:dyDescent="0.25">
      <c r="B17835" s="1"/>
    </row>
    <row r="17836" spans="2:2" x14ac:dyDescent="0.25">
      <c r="B17836" s="1"/>
    </row>
    <row r="17837" spans="2:2" x14ac:dyDescent="0.25">
      <c r="B17837" s="1"/>
    </row>
    <row r="17838" spans="2:2" x14ac:dyDescent="0.25">
      <c r="B17838" s="1"/>
    </row>
    <row r="17839" spans="2:2" x14ac:dyDescent="0.25">
      <c r="B17839" s="1"/>
    </row>
    <row r="17840" spans="2:2" x14ac:dyDescent="0.25">
      <c r="B17840" s="1"/>
    </row>
    <row r="17841" spans="2:2" x14ac:dyDescent="0.25">
      <c r="B17841" s="1"/>
    </row>
    <row r="17842" spans="2:2" x14ac:dyDescent="0.25">
      <c r="B17842" s="1"/>
    </row>
    <row r="17843" spans="2:2" x14ac:dyDescent="0.25">
      <c r="B17843" s="1"/>
    </row>
    <row r="17844" spans="2:2" x14ac:dyDescent="0.25">
      <c r="B17844" s="1"/>
    </row>
    <row r="17845" spans="2:2" x14ac:dyDescent="0.25">
      <c r="B17845" s="1"/>
    </row>
    <row r="17846" spans="2:2" x14ac:dyDescent="0.25">
      <c r="B17846" s="1"/>
    </row>
    <row r="17847" spans="2:2" x14ac:dyDescent="0.25">
      <c r="B17847" s="1"/>
    </row>
    <row r="17848" spans="2:2" x14ac:dyDescent="0.25">
      <c r="B17848" s="1"/>
    </row>
    <row r="17849" spans="2:2" x14ac:dyDescent="0.25">
      <c r="B17849" s="1"/>
    </row>
    <row r="17850" spans="2:2" x14ac:dyDescent="0.25">
      <c r="B17850" s="1"/>
    </row>
    <row r="17851" spans="2:2" x14ac:dyDescent="0.25">
      <c r="B17851" s="1"/>
    </row>
    <row r="17852" spans="2:2" x14ac:dyDescent="0.25">
      <c r="B17852" s="1"/>
    </row>
    <row r="17853" spans="2:2" x14ac:dyDescent="0.25">
      <c r="B17853" s="1"/>
    </row>
    <row r="17854" spans="2:2" x14ac:dyDescent="0.25">
      <c r="B17854" s="1"/>
    </row>
    <row r="17855" spans="2:2" x14ac:dyDescent="0.25">
      <c r="B17855" s="1"/>
    </row>
    <row r="17856" spans="2:2" x14ac:dyDescent="0.25">
      <c r="B17856" s="1"/>
    </row>
    <row r="17857" spans="2:2" x14ac:dyDescent="0.25">
      <c r="B17857" s="1"/>
    </row>
    <row r="17858" spans="2:2" x14ac:dyDescent="0.25">
      <c r="B17858" s="1"/>
    </row>
    <row r="17859" spans="2:2" x14ac:dyDescent="0.25">
      <c r="B17859" s="1"/>
    </row>
    <row r="17860" spans="2:2" x14ac:dyDescent="0.25">
      <c r="B17860" s="1"/>
    </row>
    <row r="17861" spans="2:2" x14ac:dyDescent="0.25">
      <c r="B17861" s="1"/>
    </row>
    <row r="17862" spans="2:2" x14ac:dyDescent="0.25">
      <c r="B17862" s="1"/>
    </row>
    <row r="17863" spans="2:2" x14ac:dyDescent="0.25">
      <c r="B17863" s="1"/>
    </row>
    <row r="17864" spans="2:2" x14ac:dyDescent="0.25">
      <c r="B17864" s="1"/>
    </row>
    <row r="17865" spans="2:2" x14ac:dyDescent="0.25">
      <c r="B17865" s="1"/>
    </row>
    <row r="17866" spans="2:2" x14ac:dyDescent="0.25">
      <c r="B17866" s="1"/>
    </row>
    <row r="17867" spans="2:2" x14ac:dyDescent="0.25">
      <c r="B17867" s="1"/>
    </row>
    <row r="17868" spans="2:2" x14ac:dyDescent="0.25">
      <c r="B17868" s="1"/>
    </row>
    <row r="17869" spans="2:2" x14ac:dyDescent="0.25">
      <c r="B17869" s="1"/>
    </row>
    <row r="17870" spans="2:2" x14ac:dyDescent="0.25">
      <c r="B17870" s="1"/>
    </row>
    <row r="17871" spans="2:2" x14ac:dyDescent="0.25">
      <c r="B17871" s="1"/>
    </row>
    <row r="17872" spans="2:2" x14ac:dyDescent="0.25">
      <c r="B17872" s="1"/>
    </row>
    <row r="17873" spans="2:2" x14ac:dyDescent="0.25">
      <c r="B17873" s="1"/>
    </row>
    <row r="17874" spans="2:2" x14ac:dyDescent="0.25">
      <c r="B17874" s="1"/>
    </row>
    <row r="17875" spans="2:2" x14ac:dyDescent="0.25">
      <c r="B17875" s="1"/>
    </row>
    <row r="17876" spans="2:2" x14ac:dyDescent="0.25">
      <c r="B17876" s="1"/>
    </row>
    <row r="17877" spans="2:2" x14ac:dyDescent="0.25">
      <c r="B17877" s="1"/>
    </row>
    <row r="17878" spans="2:2" x14ac:dyDescent="0.25">
      <c r="B17878" s="1"/>
    </row>
    <row r="17879" spans="2:2" x14ac:dyDescent="0.25">
      <c r="B17879" s="1"/>
    </row>
    <row r="17880" spans="2:2" x14ac:dyDescent="0.25">
      <c r="B17880" s="1"/>
    </row>
    <row r="17881" spans="2:2" x14ac:dyDescent="0.25">
      <c r="B17881" s="1"/>
    </row>
    <row r="17882" spans="2:2" x14ac:dyDescent="0.25">
      <c r="B17882" s="1"/>
    </row>
    <row r="17883" spans="2:2" x14ac:dyDescent="0.25">
      <c r="B17883" s="1"/>
    </row>
    <row r="17884" spans="2:2" x14ac:dyDescent="0.25">
      <c r="B17884" s="1"/>
    </row>
    <row r="17885" spans="2:2" x14ac:dyDescent="0.25">
      <c r="B17885" s="1"/>
    </row>
    <row r="17886" spans="2:2" x14ac:dyDescent="0.25">
      <c r="B17886" s="1"/>
    </row>
    <row r="17887" spans="2:2" x14ac:dyDescent="0.25">
      <c r="B17887" s="1"/>
    </row>
    <row r="17888" spans="2:2" x14ac:dyDescent="0.25">
      <c r="B17888" s="1"/>
    </row>
    <row r="17889" spans="2:2" x14ac:dyDescent="0.25">
      <c r="B17889" s="1"/>
    </row>
    <row r="17890" spans="2:2" x14ac:dyDescent="0.25">
      <c r="B17890" s="1"/>
    </row>
    <row r="17891" spans="2:2" x14ac:dyDescent="0.25">
      <c r="B17891" s="1"/>
    </row>
    <row r="17892" spans="2:2" x14ac:dyDescent="0.25">
      <c r="B17892" s="1"/>
    </row>
    <row r="17893" spans="2:2" x14ac:dyDescent="0.25">
      <c r="B17893" s="1"/>
    </row>
    <row r="17894" spans="2:2" x14ac:dyDescent="0.25">
      <c r="B17894" s="1"/>
    </row>
    <row r="17895" spans="2:2" x14ac:dyDescent="0.25">
      <c r="B17895" s="1"/>
    </row>
    <row r="17896" spans="2:2" x14ac:dyDescent="0.25">
      <c r="B17896" s="1"/>
    </row>
    <row r="17897" spans="2:2" x14ac:dyDescent="0.25">
      <c r="B17897" s="1"/>
    </row>
    <row r="17898" spans="2:2" x14ac:dyDescent="0.25">
      <c r="B17898" s="1"/>
    </row>
    <row r="17899" spans="2:2" x14ac:dyDescent="0.25">
      <c r="B17899" s="1"/>
    </row>
    <row r="17900" spans="2:2" x14ac:dyDescent="0.25">
      <c r="B17900" s="1"/>
    </row>
    <row r="17901" spans="2:2" x14ac:dyDescent="0.25">
      <c r="B17901" s="1"/>
    </row>
    <row r="17902" spans="2:2" x14ac:dyDescent="0.25">
      <c r="B17902" s="1"/>
    </row>
    <row r="17903" spans="2:2" x14ac:dyDescent="0.25">
      <c r="B17903" s="1"/>
    </row>
    <row r="17904" spans="2:2" x14ac:dyDescent="0.25">
      <c r="B17904" s="1"/>
    </row>
    <row r="17905" spans="2:2" x14ac:dyDescent="0.25">
      <c r="B17905" s="1"/>
    </row>
    <row r="17906" spans="2:2" x14ac:dyDescent="0.25">
      <c r="B17906" s="1"/>
    </row>
    <row r="17907" spans="2:2" x14ac:dyDescent="0.25">
      <c r="B17907" s="1"/>
    </row>
    <row r="17908" spans="2:2" x14ac:dyDescent="0.25">
      <c r="B17908" s="1"/>
    </row>
    <row r="17909" spans="2:2" x14ac:dyDescent="0.25">
      <c r="B17909" s="1"/>
    </row>
    <row r="17910" spans="2:2" x14ac:dyDescent="0.25">
      <c r="B17910" s="1"/>
    </row>
    <row r="17911" spans="2:2" x14ac:dyDescent="0.25">
      <c r="B17911" s="1"/>
    </row>
    <row r="17912" spans="2:2" x14ac:dyDescent="0.25">
      <c r="B17912" s="1"/>
    </row>
    <row r="17913" spans="2:2" x14ac:dyDescent="0.25">
      <c r="B17913" s="1"/>
    </row>
    <row r="17914" spans="2:2" x14ac:dyDescent="0.25">
      <c r="B17914" s="1"/>
    </row>
    <row r="17915" spans="2:2" x14ac:dyDescent="0.25">
      <c r="B17915" s="1"/>
    </row>
    <row r="17916" spans="2:2" x14ac:dyDescent="0.25">
      <c r="B17916" s="1"/>
    </row>
    <row r="17917" spans="2:2" x14ac:dyDescent="0.25">
      <c r="B17917" s="1"/>
    </row>
    <row r="17918" spans="2:2" x14ac:dyDescent="0.25">
      <c r="B17918" s="1"/>
    </row>
    <row r="17919" spans="2:2" x14ac:dyDescent="0.25">
      <c r="B17919" s="1"/>
    </row>
    <row r="17920" spans="2:2" x14ac:dyDescent="0.25">
      <c r="B17920" s="1"/>
    </row>
    <row r="17921" spans="2:2" x14ac:dyDescent="0.25">
      <c r="B17921" s="1"/>
    </row>
    <row r="17922" spans="2:2" x14ac:dyDescent="0.25">
      <c r="B17922" s="1"/>
    </row>
    <row r="17923" spans="2:2" x14ac:dyDescent="0.25">
      <c r="B17923" s="1"/>
    </row>
    <row r="17924" spans="2:2" x14ac:dyDescent="0.25">
      <c r="B17924" s="1"/>
    </row>
    <row r="17925" spans="2:2" x14ac:dyDescent="0.25">
      <c r="B17925" s="1"/>
    </row>
    <row r="17926" spans="2:2" x14ac:dyDescent="0.25">
      <c r="B17926" s="1"/>
    </row>
    <row r="17927" spans="2:2" x14ac:dyDescent="0.25">
      <c r="B17927" s="1"/>
    </row>
    <row r="17928" spans="2:2" x14ac:dyDescent="0.25">
      <c r="B17928" s="1"/>
    </row>
    <row r="17929" spans="2:2" x14ac:dyDescent="0.25">
      <c r="B17929" s="1"/>
    </row>
    <row r="17930" spans="2:2" x14ac:dyDescent="0.25">
      <c r="B17930" s="1"/>
    </row>
    <row r="17931" spans="2:2" x14ac:dyDescent="0.25">
      <c r="B17931" s="1"/>
    </row>
    <row r="17932" spans="2:2" x14ac:dyDescent="0.25">
      <c r="B17932" s="1"/>
    </row>
    <row r="17933" spans="2:2" x14ac:dyDescent="0.25">
      <c r="B17933" s="1"/>
    </row>
    <row r="17934" spans="2:2" x14ac:dyDescent="0.25">
      <c r="B17934" s="1"/>
    </row>
    <row r="17935" spans="2:2" x14ac:dyDescent="0.25">
      <c r="B17935" s="1"/>
    </row>
    <row r="17936" spans="2:2" x14ac:dyDescent="0.25">
      <c r="B17936" s="1"/>
    </row>
    <row r="17937" spans="2:2" x14ac:dyDescent="0.25">
      <c r="B17937" s="1"/>
    </row>
    <row r="17938" spans="2:2" x14ac:dyDescent="0.25">
      <c r="B17938" s="1"/>
    </row>
    <row r="17939" spans="2:2" x14ac:dyDescent="0.25">
      <c r="B17939" s="1"/>
    </row>
    <row r="17940" spans="2:2" x14ac:dyDescent="0.25">
      <c r="B17940" s="1"/>
    </row>
    <row r="17941" spans="2:2" x14ac:dyDescent="0.25">
      <c r="B17941" s="1"/>
    </row>
    <row r="17942" spans="2:2" x14ac:dyDescent="0.25">
      <c r="B17942" s="1"/>
    </row>
    <row r="17943" spans="2:2" x14ac:dyDescent="0.25">
      <c r="B17943" s="1"/>
    </row>
    <row r="17944" spans="2:2" x14ac:dyDescent="0.25">
      <c r="B17944" s="1"/>
    </row>
    <row r="17945" spans="2:2" x14ac:dyDescent="0.25">
      <c r="B17945" s="1"/>
    </row>
    <row r="17946" spans="2:2" x14ac:dyDescent="0.25">
      <c r="B17946" s="1"/>
    </row>
    <row r="17947" spans="2:2" x14ac:dyDescent="0.25">
      <c r="B17947" s="1"/>
    </row>
    <row r="17948" spans="2:2" x14ac:dyDescent="0.25">
      <c r="B17948" s="1"/>
    </row>
    <row r="17949" spans="2:2" x14ac:dyDescent="0.25">
      <c r="B17949" s="1"/>
    </row>
    <row r="17950" spans="2:2" x14ac:dyDescent="0.25">
      <c r="B17950" s="1"/>
    </row>
    <row r="17951" spans="2:2" x14ac:dyDescent="0.25">
      <c r="B17951" s="1"/>
    </row>
    <row r="17952" spans="2:2" x14ac:dyDescent="0.25">
      <c r="B17952" s="1"/>
    </row>
    <row r="17953" spans="2:2" x14ac:dyDescent="0.25">
      <c r="B17953" s="1"/>
    </row>
    <row r="17954" spans="2:2" x14ac:dyDescent="0.25">
      <c r="B17954" s="1"/>
    </row>
    <row r="17955" spans="2:2" x14ac:dyDescent="0.25">
      <c r="B17955" s="1"/>
    </row>
    <row r="17956" spans="2:2" x14ac:dyDescent="0.25">
      <c r="B17956" s="1"/>
    </row>
    <row r="17957" spans="2:2" x14ac:dyDescent="0.25">
      <c r="B17957" s="1"/>
    </row>
    <row r="17958" spans="2:2" x14ac:dyDescent="0.25">
      <c r="B17958" s="1"/>
    </row>
    <row r="17959" spans="2:2" x14ac:dyDescent="0.25">
      <c r="B17959" s="1"/>
    </row>
    <row r="17960" spans="2:2" x14ac:dyDescent="0.25">
      <c r="B17960" s="1"/>
    </row>
    <row r="17961" spans="2:2" x14ac:dyDescent="0.25">
      <c r="B17961" s="1"/>
    </row>
    <row r="17962" spans="2:2" x14ac:dyDescent="0.25">
      <c r="B17962" s="1"/>
    </row>
    <row r="17963" spans="2:2" x14ac:dyDescent="0.25">
      <c r="B17963" s="1"/>
    </row>
    <row r="17964" spans="2:2" x14ac:dyDescent="0.25">
      <c r="B17964" s="1"/>
    </row>
    <row r="17965" spans="2:2" x14ac:dyDescent="0.25">
      <c r="B17965" s="1"/>
    </row>
    <row r="17966" spans="2:2" x14ac:dyDescent="0.25">
      <c r="B17966" s="1"/>
    </row>
    <row r="17967" spans="2:2" x14ac:dyDescent="0.25">
      <c r="B17967" s="1"/>
    </row>
    <row r="17968" spans="2:2" x14ac:dyDescent="0.25">
      <c r="B17968" s="1"/>
    </row>
    <row r="17969" spans="2:2" x14ac:dyDescent="0.25">
      <c r="B17969" s="1"/>
    </row>
    <row r="17970" spans="2:2" x14ac:dyDescent="0.25">
      <c r="B17970" s="1"/>
    </row>
    <row r="17971" spans="2:2" x14ac:dyDescent="0.25">
      <c r="B17971" s="1"/>
    </row>
    <row r="17972" spans="2:2" x14ac:dyDescent="0.25">
      <c r="B17972" s="1"/>
    </row>
    <row r="17973" spans="2:2" x14ac:dyDescent="0.25">
      <c r="B17973" s="1"/>
    </row>
    <row r="17974" spans="2:2" x14ac:dyDescent="0.25">
      <c r="B17974" s="1"/>
    </row>
    <row r="17975" spans="2:2" x14ac:dyDescent="0.25">
      <c r="B17975" s="1"/>
    </row>
    <row r="17976" spans="2:2" x14ac:dyDescent="0.25">
      <c r="B17976" s="1"/>
    </row>
    <row r="17977" spans="2:2" x14ac:dyDescent="0.25">
      <c r="B17977" s="1"/>
    </row>
    <row r="17978" spans="2:2" x14ac:dyDescent="0.25">
      <c r="B17978" s="1"/>
    </row>
    <row r="17979" spans="2:2" x14ac:dyDescent="0.25">
      <c r="B17979" s="1"/>
    </row>
    <row r="17980" spans="2:2" x14ac:dyDescent="0.25">
      <c r="B17980" s="1"/>
    </row>
    <row r="17981" spans="2:2" x14ac:dyDescent="0.25">
      <c r="B17981" s="1"/>
    </row>
    <row r="17982" spans="2:2" x14ac:dyDescent="0.25">
      <c r="B17982" s="1"/>
    </row>
    <row r="17983" spans="2:2" x14ac:dyDescent="0.25">
      <c r="B17983" s="1"/>
    </row>
    <row r="17984" spans="2:2" x14ac:dyDescent="0.25">
      <c r="B17984" s="1"/>
    </row>
    <row r="17985" spans="2:2" x14ac:dyDescent="0.25">
      <c r="B17985" s="1"/>
    </row>
    <row r="17986" spans="2:2" x14ac:dyDescent="0.25">
      <c r="B17986" s="1"/>
    </row>
    <row r="17987" spans="2:2" x14ac:dyDescent="0.25">
      <c r="B17987" s="1"/>
    </row>
    <row r="17988" spans="2:2" x14ac:dyDescent="0.25">
      <c r="B17988" s="1"/>
    </row>
    <row r="17989" spans="2:2" x14ac:dyDescent="0.25">
      <c r="B17989" s="1"/>
    </row>
    <row r="17990" spans="2:2" x14ac:dyDescent="0.25">
      <c r="B17990" s="1"/>
    </row>
    <row r="17991" spans="2:2" x14ac:dyDescent="0.25">
      <c r="B17991" s="1"/>
    </row>
    <row r="17992" spans="2:2" x14ac:dyDescent="0.25">
      <c r="B17992" s="1"/>
    </row>
    <row r="17993" spans="2:2" x14ac:dyDescent="0.25">
      <c r="B17993" s="1"/>
    </row>
    <row r="17994" spans="2:2" x14ac:dyDescent="0.25">
      <c r="B17994" s="1"/>
    </row>
    <row r="17995" spans="2:2" x14ac:dyDescent="0.25">
      <c r="B17995" s="1"/>
    </row>
    <row r="17996" spans="2:2" x14ac:dyDescent="0.25">
      <c r="B17996" s="1"/>
    </row>
    <row r="17997" spans="2:2" x14ac:dyDescent="0.25">
      <c r="B17997" s="1"/>
    </row>
    <row r="17998" spans="2:2" x14ac:dyDescent="0.25">
      <c r="B17998" s="1"/>
    </row>
    <row r="17999" spans="2:2" x14ac:dyDescent="0.25">
      <c r="B17999" s="1"/>
    </row>
    <row r="18000" spans="2:2" x14ac:dyDescent="0.25">
      <c r="B18000" s="1"/>
    </row>
    <row r="18001" spans="2:2" x14ac:dyDescent="0.25">
      <c r="B18001" s="1"/>
    </row>
    <row r="18002" spans="2:2" x14ac:dyDescent="0.25">
      <c r="B18002" s="1"/>
    </row>
    <row r="18003" spans="2:2" x14ac:dyDescent="0.25">
      <c r="B18003" s="1"/>
    </row>
    <row r="18004" spans="2:2" x14ac:dyDescent="0.25">
      <c r="B18004" s="1"/>
    </row>
    <row r="18005" spans="2:2" x14ac:dyDescent="0.25">
      <c r="B18005" s="1"/>
    </row>
    <row r="18006" spans="2:2" x14ac:dyDescent="0.25">
      <c r="B18006" s="1"/>
    </row>
    <row r="18007" spans="2:2" x14ac:dyDescent="0.25">
      <c r="B18007" s="1"/>
    </row>
    <row r="18008" spans="2:2" x14ac:dyDescent="0.25">
      <c r="B18008" s="1"/>
    </row>
    <row r="18009" spans="2:2" x14ac:dyDescent="0.25">
      <c r="B18009" s="1"/>
    </row>
    <row r="18010" spans="2:2" x14ac:dyDescent="0.25">
      <c r="B18010" s="1"/>
    </row>
    <row r="18011" spans="2:2" x14ac:dyDescent="0.25">
      <c r="B18011" s="1"/>
    </row>
    <row r="18012" spans="2:2" x14ac:dyDescent="0.25">
      <c r="B18012" s="1"/>
    </row>
    <row r="18013" spans="2:2" x14ac:dyDescent="0.25">
      <c r="B18013" s="1"/>
    </row>
    <row r="18014" spans="2:2" x14ac:dyDescent="0.25">
      <c r="B18014" s="1"/>
    </row>
    <row r="18015" spans="2:2" x14ac:dyDescent="0.25">
      <c r="B18015" s="1"/>
    </row>
    <row r="18016" spans="2:2" x14ac:dyDescent="0.25">
      <c r="B18016" s="1"/>
    </row>
    <row r="18017" spans="2:2" x14ac:dyDescent="0.25">
      <c r="B18017" s="1"/>
    </row>
    <row r="18018" spans="2:2" x14ac:dyDescent="0.25">
      <c r="B18018" s="1"/>
    </row>
    <row r="18019" spans="2:2" x14ac:dyDescent="0.25">
      <c r="B18019" s="1"/>
    </row>
    <row r="18020" spans="2:2" x14ac:dyDescent="0.25">
      <c r="B18020" s="1"/>
    </row>
    <row r="18021" spans="2:2" x14ac:dyDescent="0.25">
      <c r="B18021" s="1"/>
    </row>
    <row r="18022" spans="2:2" x14ac:dyDescent="0.25">
      <c r="B18022" s="1"/>
    </row>
    <row r="18023" spans="2:2" x14ac:dyDescent="0.25">
      <c r="B18023" s="1"/>
    </row>
    <row r="18024" spans="2:2" x14ac:dyDescent="0.25">
      <c r="B18024" s="1"/>
    </row>
    <row r="18025" spans="2:2" x14ac:dyDescent="0.25">
      <c r="B18025" s="1"/>
    </row>
    <row r="18026" spans="2:2" x14ac:dyDescent="0.25">
      <c r="B18026" s="1"/>
    </row>
    <row r="18027" spans="2:2" x14ac:dyDescent="0.25">
      <c r="B18027" s="1"/>
    </row>
    <row r="18028" spans="2:2" x14ac:dyDescent="0.25">
      <c r="B18028" s="1"/>
    </row>
    <row r="18029" spans="2:2" x14ac:dyDescent="0.25">
      <c r="B18029" s="1"/>
    </row>
    <row r="18030" spans="2:2" x14ac:dyDescent="0.25">
      <c r="B18030" s="1"/>
    </row>
    <row r="18031" spans="2:2" x14ac:dyDescent="0.25">
      <c r="B18031" s="1"/>
    </row>
    <row r="18032" spans="2:2" x14ac:dyDescent="0.25">
      <c r="B18032" s="1"/>
    </row>
    <row r="18033" spans="2:2" x14ac:dyDescent="0.25">
      <c r="B18033" s="1"/>
    </row>
    <row r="18034" spans="2:2" x14ac:dyDescent="0.25">
      <c r="B18034" s="1"/>
    </row>
    <row r="18035" spans="2:2" x14ac:dyDescent="0.25">
      <c r="B18035" s="1"/>
    </row>
    <row r="18036" spans="2:2" x14ac:dyDescent="0.25">
      <c r="B18036" s="1"/>
    </row>
    <row r="18037" spans="2:2" x14ac:dyDescent="0.25">
      <c r="B18037" s="1"/>
    </row>
    <row r="18038" spans="2:2" x14ac:dyDescent="0.25">
      <c r="B18038" s="1"/>
    </row>
    <row r="18039" spans="2:2" x14ac:dyDescent="0.25">
      <c r="B18039" s="1"/>
    </row>
    <row r="18040" spans="2:2" x14ac:dyDescent="0.25">
      <c r="B18040" s="1"/>
    </row>
    <row r="18041" spans="2:2" x14ac:dyDescent="0.25">
      <c r="B18041" s="1"/>
    </row>
    <row r="18042" spans="2:2" x14ac:dyDescent="0.25">
      <c r="B18042" s="1"/>
    </row>
    <row r="18043" spans="2:2" x14ac:dyDescent="0.25">
      <c r="B18043" s="1"/>
    </row>
    <row r="18044" spans="2:2" x14ac:dyDescent="0.25">
      <c r="B18044" s="1"/>
    </row>
    <row r="18045" spans="2:2" x14ac:dyDescent="0.25">
      <c r="B18045" s="1"/>
    </row>
    <row r="18046" spans="2:2" x14ac:dyDescent="0.25">
      <c r="B18046" s="1"/>
    </row>
    <row r="18047" spans="2:2" x14ac:dyDescent="0.25">
      <c r="B18047" s="1"/>
    </row>
    <row r="18048" spans="2:2" x14ac:dyDescent="0.25">
      <c r="B18048" s="1"/>
    </row>
    <row r="18049" spans="2:2" x14ac:dyDescent="0.25">
      <c r="B18049" s="1"/>
    </row>
    <row r="18050" spans="2:2" x14ac:dyDescent="0.25">
      <c r="B18050" s="1"/>
    </row>
    <row r="18051" spans="2:2" x14ac:dyDescent="0.25">
      <c r="B18051" s="1"/>
    </row>
    <row r="18052" spans="2:2" x14ac:dyDescent="0.25">
      <c r="B18052" s="1"/>
    </row>
    <row r="18053" spans="2:2" x14ac:dyDescent="0.25">
      <c r="B18053" s="1"/>
    </row>
    <row r="18054" spans="2:2" x14ac:dyDescent="0.25">
      <c r="B18054" s="1"/>
    </row>
    <row r="18055" spans="2:2" x14ac:dyDescent="0.25">
      <c r="B18055" s="1"/>
    </row>
    <row r="18056" spans="2:2" x14ac:dyDescent="0.25">
      <c r="B18056" s="1"/>
    </row>
    <row r="18057" spans="2:2" x14ac:dyDescent="0.25">
      <c r="B18057" s="1"/>
    </row>
    <row r="18058" spans="2:2" x14ac:dyDescent="0.25">
      <c r="B18058" s="1"/>
    </row>
    <row r="18059" spans="2:2" x14ac:dyDescent="0.25">
      <c r="B18059" s="1"/>
    </row>
    <row r="18060" spans="2:2" x14ac:dyDescent="0.25">
      <c r="B18060" s="1"/>
    </row>
    <row r="18061" spans="2:2" x14ac:dyDescent="0.25">
      <c r="B18061" s="1"/>
    </row>
    <row r="18062" spans="2:2" x14ac:dyDescent="0.25">
      <c r="B18062" s="1"/>
    </row>
    <row r="18063" spans="2:2" x14ac:dyDescent="0.25">
      <c r="B18063" s="1"/>
    </row>
    <row r="18064" spans="2:2" x14ac:dyDescent="0.25">
      <c r="B18064" s="1"/>
    </row>
    <row r="18065" spans="2:2" x14ac:dyDescent="0.25">
      <c r="B18065" s="1"/>
    </row>
    <row r="18066" spans="2:2" x14ac:dyDescent="0.25">
      <c r="B18066" s="1"/>
    </row>
    <row r="18067" spans="2:2" x14ac:dyDescent="0.25">
      <c r="B18067" s="1"/>
    </row>
    <row r="18068" spans="2:2" x14ac:dyDescent="0.25">
      <c r="B18068" s="1"/>
    </row>
    <row r="18069" spans="2:2" x14ac:dyDescent="0.25">
      <c r="B18069" s="1"/>
    </row>
    <row r="18070" spans="2:2" x14ac:dyDescent="0.25">
      <c r="B18070" s="1"/>
    </row>
    <row r="18071" spans="2:2" x14ac:dyDescent="0.25">
      <c r="B18071" s="1"/>
    </row>
    <row r="18072" spans="2:2" x14ac:dyDescent="0.25">
      <c r="B18072" s="1"/>
    </row>
    <row r="18073" spans="2:2" x14ac:dyDescent="0.25">
      <c r="B18073" s="1"/>
    </row>
    <row r="18074" spans="2:2" x14ac:dyDescent="0.25">
      <c r="B18074" s="1"/>
    </row>
    <row r="18075" spans="2:2" x14ac:dyDescent="0.25">
      <c r="B18075" s="1"/>
    </row>
    <row r="18076" spans="2:2" x14ac:dyDescent="0.25">
      <c r="B18076" s="1"/>
    </row>
    <row r="18077" spans="2:2" x14ac:dyDescent="0.25">
      <c r="B18077" s="1"/>
    </row>
    <row r="18078" spans="2:2" x14ac:dyDescent="0.25">
      <c r="B18078" s="1"/>
    </row>
    <row r="18079" spans="2:2" x14ac:dyDescent="0.25">
      <c r="B18079" s="1"/>
    </row>
    <row r="18080" spans="2:2" x14ac:dyDescent="0.25">
      <c r="B18080" s="1"/>
    </row>
    <row r="18081" spans="2:2" x14ac:dyDescent="0.25">
      <c r="B18081" s="1"/>
    </row>
    <row r="18082" spans="2:2" x14ac:dyDescent="0.25">
      <c r="B18082" s="1"/>
    </row>
    <row r="18083" spans="2:2" x14ac:dyDescent="0.25">
      <c r="B18083" s="1"/>
    </row>
    <row r="18084" spans="2:2" x14ac:dyDescent="0.25">
      <c r="B18084" s="1"/>
    </row>
    <row r="18085" spans="2:2" x14ac:dyDescent="0.25">
      <c r="B18085" s="1"/>
    </row>
    <row r="18086" spans="2:2" x14ac:dyDescent="0.25">
      <c r="B18086" s="1"/>
    </row>
    <row r="18087" spans="2:2" x14ac:dyDescent="0.25">
      <c r="B18087" s="1"/>
    </row>
    <row r="18088" spans="2:2" x14ac:dyDescent="0.25">
      <c r="B18088" s="1"/>
    </row>
    <row r="18089" spans="2:2" x14ac:dyDescent="0.25">
      <c r="B18089" s="1"/>
    </row>
    <row r="18090" spans="2:2" x14ac:dyDescent="0.25">
      <c r="B18090" s="1"/>
    </row>
    <row r="18091" spans="2:2" x14ac:dyDescent="0.25">
      <c r="B18091" s="1"/>
    </row>
    <row r="18092" spans="2:2" x14ac:dyDescent="0.25">
      <c r="B18092" s="1"/>
    </row>
    <row r="18093" spans="2:2" x14ac:dyDescent="0.25">
      <c r="B18093" s="1"/>
    </row>
    <row r="18094" spans="2:2" x14ac:dyDescent="0.25">
      <c r="B18094" s="1"/>
    </row>
    <row r="18095" spans="2:2" x14ac:dyDescent="0.25">
      <c r="B18095" s="1"/>
    </row>
    <row r="18096" spans="2:2" x14ac:dyDescent="0.25">
      <c r="B18096" s="1"/>
    </row>
    <row r="18097" spans="2:2" x14ac:dyDescent="0.25">
      <c r="B18097" s="1"/>
    </row>
    <row r="18098" spans="2:2" x14ac:dyDescent="0.25">
      <c r="B18098" s="1"/>
    </row>
    <row r="18099" spans="2:2" x14ac:dyDescent="0.25">
      <c r="B18099" s="1"/>
    </row>
    <row r="18100" spans="2:2" x14ac:dyDescent="0.25">
      <c r="B18100" s="1"/>
    </row>
    <row r="18101" spans="2:2" x14ac:dyDescent="0.25">
      <c r="B18101" s="1"/>
    </row>
    <row r="18102" spans="2:2" x14ac:dyDescent="0.25">
      <c r="B18102" s="1"/>
    </row>
    <row r="18103" spans="2:2" x14ac:dyDescent="0.25">
      <c r="B18103" s="1"/>
    </row>
    <row r="18104" spans="2:2" x14ac:dyDescent="0.25">
      <c r="B18104" s="1"/>
    </row>
    <row r="18105" spans="2:2" x14ac:dyDescent="0.25">
      <c r="B18105" s="1"/>
    </row>
    <row r="18106" spans="2:2" x14ac:dyDescent="0.25">
      <c r="B18106" s="1"/>
    </row>
    <row r="18107" spans="2:2" x14ac:dyDescent="0.25">
      <c r="B18107" s="1"/>
    </row>
    <row r="18108" spans="2:2" x14ac:dyDescent="0.25">
      <c r="B18108" s="1"/>
    </row>
    <row r="18109" spans="2:2" x14ac:dyDescent="0.25">
      <c r="B18109" s="1"/>
    </row>
    <row r="18110" spans="2:2" x14ac:dyDescent="0.25">
      <c r="B18110" s="1"/>
    </row>
    <row r="18111" spans="2:2" x14ac:dyDescent="0.25">
      <c r="B18111" s="1"/>
    </row>
    <row r="18112" spans="2:2" x14ac:dyDescent="0.25">
      <c r="B18112" s="1"/>
    </row>
    <row r="18113" spans="2:2" x14ac:dyDescent="0.25">
      <c r="B18113" s="1"/>
    </row>
    <row r="18114" spans="2:2" x14ac:dyDescent="0.25">
      <c r="B18114" s="1"/>
    </row>
    <row r="18115" spans="2:2" x14ac:dyDescent="0.25">
      <c r="B18115" s="1"/>
    </row>
    <row r="18116" spans="2:2" x14ac:dyDescent="0.25">
      <c r="B18116" s="1"/>
    </row>
    <row r="18117" spans="2:2" x14ac:dyDescent="0.25">
      <c r="B18117" s="1"/>
    </row>
    <row r="18118" spans="2:2" x14ac:dyDescent="0.25">
      <c r="B18118" s="1"/>
    </row>
    <row r="18119" spans="2:2" x14ac:dyDescent="0.25">
      <c r="B18119" s="1"/>
    </row>
    <row r="18120" spans="2:2" x14ac:dyDescent="0.25">
      <c r="B18120" s="1"/>
    </row>
    <row r="18121" spans="2:2" x14ac:dyDescent="0.25">
      <c r="B18121" s="1"/>
    </row>
    <row r="18122" spans="2:2" x14ac:dyDescent="0.25">
      <c r="B18122" s="1"/>
    </row>
    <row r="18123" spans="2:2" x14ac:dyDescent="0.25">
      <c r="B18123" s="1"/>
    </row>
    <row r="18124" spans="2:2" x14ac:dyDescent="0.25">
      <c r="B18124" s="1"/>
    </row>
    <row r="18125" spans="2:2" x14ac:dyDescent="0.25">
      <c r="B18125" s="1"/>
    </row>
    <row r="18126" spans="2:2" x14ac:dyDescent="0.25">
      <c r="B18126" s="1"/>
    </row>
    <row r="18127" spans="2:2" x14ac:dyDescent="0.25">
      <c r="B18127" s="1"/>
    </row>
    <row r="18128" spans="2:2" x14ac:dyDescent="0.25">
      <c r="B18128" s="1"/>
    </row>
    <row r="18129" spans="2:2" x14ac:dyDescent="0.25">
      <c r="B18129" s="1"/>
    </row>
    <row r="18130" spans="2:2" x14ac:dyDescent="0.25">
      <c r="B18130" s="1"/>
    </row>
    <row r="18131" spans="2:2" x14ac:dyDescent="0.25">
      <c r="B18131" s="1"/>
    </row>
    <row r="18132" spans="2:2" x14ac:dyDescent="0.25">
      <c r="B18132" s="1"/>
    </row>
    <row r="18133" spans="2:2" x14ac:dyDescent="0.25">
      <c r="B18133" s="1"/>
    </row>
    <row r="18134" spans="2:2" x14ac:dyDescent="0.25">
      <c r="B18134" s="1"/>
    </row>
    <row r="18135" spans="2:2" x14ac:dyDescent="0.25">
      <c r="B18135" s="1"/>
    </row>
    <row r="18136" spans="2:2" x14ac:dyDescent="0.25">
      <c r="B18136" s="1"/>
    </row>
    <row r="18137" spans="2:2" x14ac:dyDescent="0.25">
      <c r="B18137" s="1"/>
    </row>
    <row r="18138" spans="2:2" x14ac:dyDescent="0.25">
      <c r="B18138" s="1"/>
    </row>
    <row r="18139" spans="2:2" x14ac:dyDescent="0.25">
      <c r="B18139" s="1"/>
    </row>
    <row r="18140" spans="2:2" x14ac:dyDescent="0.25">
      <c r="B18140" s="1"/>
    </row>
    <row r="18141" spans="2:2" x14ac:dyDescent="0.25">
      <c r="B18141" s="1"/>
    </row>
    <row r="18142" spans="2:2" x14ac:dyDescent="0.25">
      <c r="B18142" s="1"/>
    </row>
    <row r="18143" spans="2:2" x14ac:dyDescent="0.25">
      <c r="B18143" s="1"/>
    </row>
    <row r="18144" spans="2:2" x14ac:dyDescent="0.25">
      <c r="B18144" s="1"/>
    </row>
    <row r="18145" spans="2:2" x14ac:dyDescent="0.25">
      <c r="B18145" s="1"/>
    </row>
    <row r="18146" spans="2:2" x14ac:dyDescent="0.25">
      <c r="B18146" s="1"/>
    </row>
    <row r="18147" spans="2:2" x14ac:dyDescent="0.25">
      <c r="B18147" s="1"/>
    </row>
    <row r="18148" spans="2:2" x14ac:dyDescent="0.25">
      <c r="B18148" s="1"/>
    </row>
    <row r="18149" spans="2:2" x14ac:dyDescent="0.25">
      <c r="B18149" s="1"/>
    </row>
    <row r="18150" spans="2:2" x14ac:dyDescent="0.25">
      <c r="B18150" s="1"/>
    </row>
    <row r="18151" spans="2:2" x14ac:dyDescent="0.25">
      <c r="B18151" s="1"/>
    </row>
    <row r="18152" spans="2:2" x14ac:dyDescent="0.25">
      <c r="B18152" s="1"/>
    </row>
    <row r="18153" spans="2:2" x14ac:dyDescent="0.25">
      <c r="B18153" s="1"/>
    </row>
    <row r="18154" spans="2:2" x14ac:dyDescent="0.25">
      <c r="B18154" s="1"/>
    </row>
    <row r="18155" spans="2:2" x14ac:dyDescent="0.25">
      <c r="B18155" s="1"/>
    </row>
    <row r="18156" spans="2:2" x14ac:dyDescent="0.25">
      <c r="B18156" s="1"/>
    </row>
    <row r="18157" spans="2:2" x14ac:dyDescent="0.25">
      <c r="B18157" s="1"/>
    </row>
    <row r="18158" spans="2:2" x14ac:dyDescent="0.25">
      <c r="B18158" s="1"/>
    </row>
    <row r="18159" spans="2:2" x14ac:dyDescent="0.25">
      <c r="B18159" s="1"/>
    </row>
    <row r="18160" spans="2:2" x14ac:dyDescent="0.25">
      <c r="B18160" s="1"/>
    </row>
    <row r="18161" spans="2:2" x14ac:dyDescent="0.25">
      <c r="B18161" s="1"/>
    </row>
    <row r="18162" spans="2:2" x14ac:dyDescent="0.25">
      <c r="B18162" s="1"/>
    </row>
    <row r="18163" spans="2:2" x14ac:dyDescent="0.25">
      <c r="B18163" s="1"/>
    </row>
    <row r="18164" spans="2:2" x14ac:dyDescent="0.25">
      <c r="B18164" s="1"/>
    </row>
    <row r="18165" spans="2:2" x14ac:dyDescent="0.25">
      <c r="B18165" s="1"/>
    </row>
    <row r="18166" spans="2:2" x14ac:dyDescent="0.25">
      <c r="B18166" s="1"/>
    </row>
    <row r="18167" spans="2:2" x14ac:dyDescent="0.25">
      <c r="B18167" s="1"/>
    </row>
    <row r="18168" spans="2:2" x14ac:dyDescent="0.25">
      <c r="B18168" s="1"/>
    </row>
    <row r="18169" spans="2:2" x14ac:dyDescent="0.25">
      <c r="B18169" s="1"/>
    </row>
    <row r="18170" spans="2:2" x14ac:dyDescent="0.25">
      <c r="B18170" s="1"/>
    </row>
    <row r="18171" spans="2:2" x14ac:dyDescent="0.25">
      <c r="B18171" s="1"/>
    </row>
    <row r="18172" spans="2:2" x14ac:dyDescent="0.25">
      <c r="B18172" s="1"/>
    </row>
    <row r="18173" spans="2:2" x14ac:dyDescent="0.25">
      <c r="B18173" s="1"/>
    </row>
    <row r="18174" spans="2:2" x14ac:dyDescent="0.25">
      <c r="B18174" s="1"/>
    </row>
    <row r="18175" spans="2:2" x14ac:dyDescent="0.25">
      <c r="B18175" s="1"/>
    </row>
    <row r="18176" spans="2:2" x14ac:dyDescent="0.25">
      <c r="B18176" s="1"/>
    </row>
    <row r="18177" spans="2:2" x14ac:dyDescent="0.25">
      <c r="B18177" s="1"/>
    </row>
    <row r="18178" spans="2:2" x14ac:dyDescent="0.25">
      <c r="B18178" s="1"/>
    </row>
    <row r="18179" spans="2:2" x14ac:dyDescent="0.25">
      <c r="B18179" s="1"/>
    </row>
    <row r="18180" spans="2:2" x14ac:dyDescent="0.25">
      <c r="B18180" s="1"/>
    </row>
    <row r="18181" spans="2:2" x14ac:dyDescent="0.25">
      <c r="B18181" s="1"/>
    </row>
    <row r="18182" spans="2:2" x14ac:dyDescent="0.25">
      <c r="B18182" s="1"/>
    </row>
    <row r="18183" spans="2:2" x14ac:dyDescent="0.25">
      <c r="B18183" s="1"/>
    </row>
    <row r="18184" spans="2:2" x14ac:dyDescent="0.25">
      <c r="B18184" s="1"/>
    </row>
    <row r="18185" spans="2:2" x14ac:dyDescent="0.25">
      <c r="B18185" s="1"/>
    </row>
    <row r="18186" spans="2:2" x14ac:dyDescent="0.25">
      <c r="B18186" s="1"/>
    </row>
    <row r="18187" spans="2:2" x14ac:dyDescent="0.25">
      <c r="B18187" s="1"/>
    </row>
    <row r="18188" spans="2:2" x14ac:dyDescent="0.25">
      <c r="B18188" s="1"/>
    </row>
    <row r="18189" spans="2:2" x14ac:dyDescent="0.25">
      <c r="B18189" s="1"/>
    </row>
    <row r="18190" spans="2:2" x14ac:dyDescent="0.25">
      <c r="B18190" s="1"/>
    </row>
    <row r="18191" spans="2:2" x14ac:dyDescent="0.25">
      <c r="B18191" s="1"/>
    </row>
    <row r="18192" spans="2:2" x14ac:dyDescent="0.25">
      <c r="B18192" s="1"/>
    </row>
    <row r="18193" spans="2:2" x14ac:dyDescent="0.25">
      <c r="B18193" s="1"/>
    </row>
    <row r="18194" spans="2:2" x14ac:dyDescent="0.25">
      <c r="B18194" s="1"/>
    </row>
    <row r="18195" spans="2:2" x14ac:dyDescent="0.25">
      <c r="B18195" s="1"/>
    </row>
    <row r="18196" spans="2:2" x14ac:dyDescent="0.25">
      <c r="B18196" s="1"/>
    </row>
    <row r="18197" spans="2:2" x14ac:dyDescent="0.25">
      <c r="B18197" s="1"/>
    </row>
    <row r="18198" spans="2:2" x14ac:dyDescent="0.25">
      <c r="B18198" s="1"/>
    </row>
    <row r="18199" spans="2:2" x14ac:dyDescent="0.25">
      <c r="B18199" s="1"/>
    </row>
    <row r="18200" spans="2:2" x14ac:dyDescent="0.25">
      <c r="B18200" s="1"/>
    </row>
    <row r="18201" spans="2:2" x14ac:dyDescent="0.25">
      <c r="B18201" s="1"/>
    </row>
    <row r="18202" spans="2:2" x14ac:dyDescent="0.25">
      <c r="B18202" s="1"/>
    </row>
    <row r="18203" spans="2:2" x14ac:dyDescent="0.25">
      <c r="B18203" s="1"/>
    </row>
    <row r="18204" spans="2:2" x14ac:dyDescent="0.25">
      <c r="B18204" s="1"/>
    </row>
    <row r="18205" spans="2:2" x14ac:dyDescent="0.25">
      <c r="B18205" s="1"/>
    </row>
    <row r="18206" spans="2:2" x14ac:dyDescent="0.25">
      <c r="B18206" s="1"/>
    </row>
    <row r="18207" spans="2:2" x14ac:dyDescent="0.25">
      <c r="B18207" s="1"/>
    </row>
    <row r="18208" spans="2:2" x14ac:dyDescent="0.25">
      <c r="B18208" s="1"/>
    </row>
    <row r="18209" spans="2:2" x14ac:dyDescent="0.25">
      <c r="B18209" s="1"/>
    </row>
    <row r="18210" spans="2:2" x14ac:dyDescent="0.25">
      <c r="B18210" s="1"/>
    </row>
    <row r="18211" spans="2:2" x14ac:dyDescent="0.25">
      <c r="B18211" s="1"/>
    </row>
    <row r="18212" spans="2:2" x14ac:dyDescent="0.25">
      <c r="B18212" s="1"/>
    </row>
    <row r="18213" spans="2:2" x14ac:dyDescent="0.25">
      <c r="B18213" s="1"/>
    </row>
    <row r="18214" spans="2:2" x14ac:dyDescent="0.25">
      <c r="B18214" s="1"/>
    </row>
    <row r="18215" spans="2:2" x14ac:dyDescent="0.25">
      <c r="B18215" s="1"/>
    </row>
    <row r="18216" spans="2:2" x14ac:dyDescent="0.25">
      <c r="B18216" s="1"/>
    </row>
    <row r="18217" spans="2:2" x14ac:dyDescent="0.25">
      <c r="B18217" s="1"/>
    </row>
    <row r="18218" spans="2:2" x14ac:dyDescent="0.25">
      <c r="B18218" s="1"/>
    </row>
    <row r="18219" spans="2:2" x14ac:dyDescent="0.25">
      <c r="B18219" s="1"/>
    </row>
    <row r="18220" spans="2:2" x14ac:dyDescent="0.25">
      <c r="B18220" s="1"/>
    </row>
    <row r="18221" spans="2:2" x14ac:dyDescent="0.25">
      <c r="B18221" s="1"/>
    </row>
    <row r="18222" spans="2:2" x14ac:dyDescent="0.25">
      <c r="B18222" s="1"/>
    </row>
    <row r="18223" spans="2:2" x14ac:dyDescent="0.25">
      <c r="B18223" s="1"/>
    </row>
    <row r="18224" spans="2:2" x14ac:dyDescent="0.25">
      <c r="B18224" s="1"/>
    </row>
    <row r="18225" spans="2:2" x14ac:dyDescent="0.25">
      <c r="B18225" s="1"/>
    </row>
    <row r="18226" spans="2:2" x14ac:dyDescent="0.25">
      <c r="B18226" s="1"/>
    </row>
    <row r="18227" spans="2:2" x14ac:dyDescent="0.25">
      <c r="B18227" s="1"/>
    </row>
    <row r="18228" spans="2:2" x14ac:dyDescent="0.25">
      <c r="B18228" s="1"/>
    </row>
    <row r="18229" spans="2:2" x14ac:dyDescent="0.25">
      <c r="B18229" s="1"/>
    </row>
    <row r="18230" spans="2:2" x14ac:dyDescent="0.25">
      <c r="B18230" s="1"/>
    </row>
    <row r="18231" spans="2:2" x14ac:dyDescent="0.25">
      <c r="B18231" s="1"/>
    </row>
    <row r="18232" spans="2:2" x14ac:dyDescent="0.25">
      <c r="B18232" s="1"/>
    </row>
    <row r="18233" spans="2:2" x14ac:dyDescent="0.25">
      <c r="B18233" s="1"/>
    </row>
    <row r="18234" spans="2:2" x14ac:dyDescent="0.25">
      <c r="B18234" s="1"/>
    </row>
    <row r="18235" spans="2:2" x14ac:dyDescent="0.25">
      <c r="B18235" s="1"/>
    </row>
    <row r="18236" spans="2:2" x14ac:dyDescent="0.25">
      <c r="B18236" s="1"/>
    </row>
    <row r="18237" spans="2:2" x14ac:dyDescent="0.25">
      <c r="B18237" s="1"/>
    </row>
    <row r="18238" spans="2:2" x14ac:dyDescent="0.25">
      <c r="B18238" s="1"/>
    </row>
    <row r="18239" spans="2:2" x14ac:dyDescent="0.25">
      <c r="B18239" s="1"/>
    </row>
    <row r="18240" spans="2:2" x14ac:dyDescent="0.25">
      <c r="B18240" s="1"/>
    </row>
    <row r="18241" spans="2:2" x14ac:dyDescent="0.25">
      <c r="B18241" s="1"/>
    </row>
    <row r="18242" spans="2:2" x14ac:dyDescent="0.25">
      <c r="B18242" s="1"/>
    </row>
    <row r="18243" spans="2:2" x14ac:dyDescent="0.25">
      <c r="B18243" s="1"/>
    </row>
    <row r="18244" spans="2:2" x14ac:dyDescent="0.25">
      <c r="B18244" s="1"/>
    </row>
    <row r="18245" spans="2:2" x14ac:dyDescent="0.25">
      <c r="B18245" s="1"/>
    </row>
    <row r="18246" spans="2:2" x14ac:dyDescent="0.25">
      <c r="B18246" s="1"/>
    </row>
    <row r="18247" spans="2:2" x14ac:dyDescent="0.25">
      <c r="B18247" s="1"/>
    </row>
    <row r="18248" spans="2:2" x14ac:dyDescent="0.25">
      <c r="B18248" s="1"/>
    </row>
    <row r="18249" spans="2:2" x14ac:dyDescent="0.25">
      <c r="B18249" s="1"/>
    </row>
    <row r="18250" spans="2:2" x14ac:dyDescent="0.25">
      <c r="B18250" s="1"/>
    </row>
    <row r="18251" spans="2:2" x14ac:dyDescent="0.25">
      <c r="B18251" s="1"/>
    </row>
    <row r="18252" spans="2:2" x14ac:dyDescent="0.25">
      <c r="B18252" s="1"/>
    </row>
    <row r="18253" spans="2:2" x14ac:dyDescent="0.25">
      <c r="B18253" s="1"/>
    </row>
    <row r="18254" spans="2:2" x14ac:dyDescent="0.25">
      <c r="B18254" s="1"/>
    </row>
    <row r="18255" spans="2:2" x14ac:dyDescent="0.25">
      <c r="B18255" s="1"/>
    </row>
    <row r="18256" spans="2:2" x14ac:dyDescent="0.25">
      <c r="B18256" s="1"/>
    </row>
    <row r="18257" spans="2:2" x14ac:dyDescent="0.25">
      <c r="B18257" s="1"/>
    </row>
    <row r="18258" spans="2:2" x14ac:dyDescent="0.25">
      <c r="B18258" s="1"/>
    </row>
    <row r="18259" spans="2:2" x14ac:dyDescent="0.25">
      <c r="B18259" s="1"/>
    </row>
    <row r="18260" spans="2:2" x14ac:dyDescent="0.25">
      <c r="B18260" s="1"/>
    </row>
    <row r="18261" spans="2:2" x14ac:dyDescent="0.25">
      <c r="B18261" s="1"/>
    </row>
    <row r="18262" spans="2:2" x14ac:dyDescent="0.25">
      <c r="B18262" s="1"/>
    </row>
    <row r="18263" spans="2:2" x14ac:dyDescent="0.25">
      <c r="B18263" s="1"/>
    </row>
    <row r="18264" spans="2:2" x14ac:dyDescent="0.25">
      <c r="B18264" s="1"/>
    </row>
    <row r="18265" spans="2:2" x14ac:dyDescent="0.25">
      <c r="B18265" s="1"/>
    </row>
    <row r="18266" spans="2:2" x14ac:dyDescent="0.25">
      <c r="B18266" s="1"/>
    </row>
    <row r="18267" spans="2:2" x14ac:dyDescent="0.25">
      <c r="B18267" s="1"/>
    </row>
    <row r="18268" spans="2:2" x14ac:dyDescent="0.25">
      <c r="B18268" s="1"/>
    </row>
    <row r="18269" spans="2:2" x14ac:dyDescent="0.25">
      <c r="B18269" s="1"/>
    </row>
    <row r="18270" spans="2:2" x14ac:dyDescent="0.25">
      <c r="B18270" s="1"/>
    </row>
    <row r="18271" spans="2:2" x14ac:dyDescent="0.25">
      <c r="B18271" s="1"/>
    </row>
    <row r="18272" spans="2:2" x14ac:dyDescent="0.25">
      <c r="B18272" s="1"/>
    </row>
    <row r="18273" spans="2:2" x14ac:dyDescent="0.25">
      <c r="B18273" s="1"/>
    </row>
    <row r="18274" spans="2:2" x14ac:dyDescent="0.25">
      <c r="B18274" s="1"/>
    </row>
    <row r="18275" spans="2:2" x14ac:dyDescent="0.25">
      <c r="B18275" s="1"/>
    </row>
    <row r="18276" spans="2:2" x14ac:dyDescent="0.25">
      <c r="B18276" s="1"/>
    </row>
    <row r="18277" spans="2:2" x14ac:dyDescent="0.25">
      <c r="B18277" s="1"/>
    </row>
    <row r="18278" spans="2:2" x14ac:dyDescent="0.25">
      <c r="B18278" s="1"/>
    </row>
    <row r="18279" spans="2:2" x14ac:dyDescent="0.25">
      <c r="B18279" s="1"/>
    </row>
    <row r="18280" spans="2:2" x14ac:dyDescent="0.25">
      <c r="B18280" s="1"/>
    </row>
    <row r="18281" spans="2:2" x14ac:dyDescent="0.25">
      <c r="B18281" s="1"/>
    </row>
    <row r="18282" spans="2:2" x14ac:dyDescent="0.25">
      <c r="B18282" s="1"/>
    </row>
    <row r="18283" spans="2:2" x14ac:dyDescent="0.25">
      <c r="B18283" s="1"/>
    </row>
    <row r="18284" spans="2:2" x14ac:dyDescent="0.25">
      <c r="B18284" s="1"/>
    </row>
    <row r="18285" spans="2:2" x14ac:dyDescent="0.25">
      <c r="B18285" s="1"/>
    </row>
    <row r="18286" spans="2:2" x14ac:dyDescent="0.25">
      <c r="B18286" s="1"/>
    </row>
    <row r="18287" spans="2:2" x14ac:dyDescent="0.25">
      <c r="B18287" s="1"/>
    </row>
    <row r="18288" spans="2:2" x14ac:dyDescent="0.25">
      <c r="B18288" s="1"/>
    </row>
    <row r="18289" spans="2:2" x14ac:dyDescent="0.25">
      <c r="B18289" s="1"/>
    </row>
    <row r="18290" spans="2:2" x14ac:dyDescent="0.25">
      <c r="B18290" s="1"/>
    </row>
    <row r="18291" spans="2:2" x14ac:dyDescent="0.25">
      <c r="B18291" s="1"/>
    </row>
    <row r="18292" spans="2:2" x14ac:dyDescent="0.25">
      <c r="B18292" s="1"/>
    </row>
    <row r="18293" spans="2:2" x14ac:dyDescent="0.25">
      <c r="B18293" s="1"/>
    </row>
    <row r="18294" spans="2:2" x14ac:dyDescent="0.25">
      <c r="B18294" s="1"/>
    </row>
    <row r="18295" spans="2:2" x14ac:dyDescent="0.25">
      <c r="B18295" s="1"/>
    </row>
    <row r="18296" spans="2:2" x14ac:dyDescent="0.25">
      <c r="B18296" s="1"/>
    </row>
    <row r="18297" spans="2:2" x14ac:dyDescent="0.25">
      <c r="B18297" s="1"/>
    </row>
    <row r="18298" spans="2:2" x14ac:dyDescent="0.25">
      <c r="B18298" s="1"/>
    </row>
    <row r="18299" spans="2:2" x14ac:dyDescent="0.25">
      <c r="B18299" s="1"/>
    </row>
    <row r="18300" spans="2:2" x14ac:dyDescent="0.25">
      <c r="B18300" s="1"/>
    </row>
    <row r="18301" spans="2:2" x14ac:dyDescent="0.25">
      <c r="B18301" s="1"/>
    </row>
    <row r="18302" spans="2:2" x14ac:dyDescent="0.25">
      <c r="B18302" s="1"/>
    </row>
    <row r="18303" spans="2:2" x14ac:dyDescent="0.25">
      <c r="B18303" s="1"/>
    </row>
    <row r="18304" spans="2:2" x14ac:dyDescent="0.25">
      <c r="B18304" s="1"/>
    </row>
    <row r="18305" spans="2:2" x14ac:dyDescent="0.25">
      <c r="B18305" s="1"/>
    </row>
    <row r="18306" spans="2:2" x14ac:dyDescent="0.25">
      <c r="B18306" s="1"/>
    </row>
    <row r="18307" spans="2:2" x14ac:dyDescent="0.25">
      <c r="B18307" s="1"/>
    </row>
    <row r="18308" spans="2:2" x14ac:dyDescent="0.25">
      <c r="B18308" s="1"/>
    </row>
    <row r="18309" spans="2:2" x14ac:dyDescent="0.25">
      <c r="B18309" s="1"/>
    </row>
    <row r="18310" spans="2:2" x14ac:dyDescent="0.25">
      <c r="B18310" s="1"/>
    </row>
    <row r="18311" spans="2:2" x14ac:dyDescent="0.25">
      <c r="B18311" s="1"/>
    </row>
    <row r="18312" spans="2:2" x14ac:dyDescent="0.25">
      <c r="B18312" s="1"/>
    </row>
    <row r="18313" spans="2:2" x14ac:dyDescent="0.25">
      <c r="B18313" s="1"/>
    </row>
    <row r="18314" spans="2:2" x14ac:dyDescent="0.25">
      <c r="B18314" s="1"/>
    </row>
    <row r="18315" spans="2:2" x14ac:dyDescent="0.25">
      <c r="B18315" s="1"/>
    </row>
    <row r="18316" spans="2:2" x14ac:dyDescent="0.25">
      <c r="B18316" s="1"/>
    </row>
    <row r="18317" spans="2:2" x14ac:dyDescent="0.25">
      <c r="B18317" s="1"/>
    </row>
    <row r="18318" spans="2:2" x14ac:dyDescent="0.25">
      <c r="B18318" s="1"/>
    </row>
    <row r="18319" spans="2:2" x14ac:dyDescent="0.25">
      <c r="B18319" s="1"/>
    </row>
    <row r="18320" spans="2:2" x14ac:dyDescent="0.25">
      <c r="B18320" s="1"/>
    </row>
    <row r="18321" spans="2:2" x14ac:dyDescent="0.25">
      <c r="B18321" s="1"/>
    </row>
    <row r="18322" spans="2:2" x14ac:dyDescent="0.25">
      <c r="B18322" s="1"/>
    </row>
    <row r="18323" spans="2:2" x14ac:dyDescent="0.25">
      <c r="B18323" s="1"/>
    </row>
    <row r="18324" spans="2:2" x14ac:dyDescent="0.25">
      <c r="B18324" s="1"/>
    </row>
    <row r="18325" spans="2:2" x14ac:dyDescent="0.25">
      <c r="B18325" s="1"/>
    </row>
    <row r="18326" spans="2:2" x14ac:dyDescent="0.25">
      <c r="B18326" s="1"/>
    </row>
    <row r="18327" spans="2:2" x14ac:dyDescent="0.25">
      <c r="B18327" s="1"/>
    </row>
    <row r="18328" spans="2:2" x14ac:dyDescent="0.25">
      <c r="B18328" s="1"/>
    </row>
    <row r="18329" spans="2:2" x14ac:dyDescent="0.25">
      <c r="B18329" s="1"/>
    </row>
    <row r="18330" spans="2:2" x14ac:dyDescent="0.25">
      <c r="B18330" s="1"/>
    </row>
    <row r="18331" spans="2:2" x14ac:dyDescent="0.25">
      <c r="B18331" s="1"/>
    </row>
    <row r="18332" spans="2:2" x14ac:dyDescent="0.25">
      <c r="B18332" s="1"/>
    </row>
    <row r="18333" spans="2:2" x14ac:dyDescent="0.25">
      <c r="B18333" s="1"/>
    </row>
    <row r="18334" spans="2:2" x14ac:dyDescent="0.25">
      <c r="B18334" s="1"/>
    </row>
    <row r="18335" spans="2:2" x14ac:dyDescent="0.25">
      <c r="B18335" s="1"/>
    </row>
    <row r="18336" spans="2:2" x14ac:dyDescent="0.25">
      <c r="B18336" s="1"/>
    </row>
    <row r="18337" spans="2:2" x14ac:dyDescent="0.25">
      <c r="B18337" s="1"/>
    </row>
    <row r="18338" spans="2:2" x14ac:dyDescent="0.25">
      <c r="B18338" s="1"/>
    </row>
    <row r="18339" spans="2:2" x14ac:dyDescent="0.25">
      <c r="B18339" s="1"/>
    </row>
    <row r="18340" spans="2:2" x14ac:dyDescent="0.25">
      <c r="B18340" s="1"/>
    </row>
    <row r="18341" spans="2:2" x14ac:dyDescent="0.25">
      <c r="B18341" s="1"/>
    </row>
    <row r="18342" spans="2:2" x14ac:dyDescent="0.25">
      <c r="B18342" s="1"/>
    </row>
    <row r="18343" spans="2:2" x14ac:dyDescent="0.25">
      <c r="B18343" s="1"/>
    </row>
    <row r="18344" spans="2:2" x14ac:dyDescent="0.25">
      <c r="B18344" s="1"/>
    </row>
    <row r="18345" spans="2:2" x14ac:dyDescent="0.25">
      <c r="B18345" s="1"/>
    </row>
    <row r="18346" spans="2:2" x14ac:dyDescent="0.25">
      <c r="B18346" s="1"/>
    </row>
    <row r="18347" spans="2:2" x14ac:dyDescent="0.25">
      <c r="B18347" s="1"/>
    </row>
    <row r="18348" spans="2:2" x14ac:dyDescent="0.25">
      <c r="B18348" s="1"/>
    </row>
    <row r="18349" spans="2:2" x14ac:dyDescent="0.25">
      <c r="B18349" s="1"/>
    </row>
    <row r="18350" spans="2:2" x14ac:dyDescent="0.25">
      <c r="B18350" s="1"/>
    </row>
    <row r="18351" spans="2:2" x14ac:dyDescent="0.25">
      <c r="B18351" s="1"/>
    </row>
    <row r="18352" spans="2:2" x14ac:dyDescent="0.25">
      <c r="B18352" s="1"/>
    </row>
    <row r="18353" spans="2:2" x14ac:dyDescent="0.25">
      <c r="B18353" s="1"/>
    </row>
    <row r="18354" spans="2:2" x14ac:dyDescent="0.25">
      <c r="B18354" s="1"/>
    </row>
    <row r="18355" spans="2:2" x14ac:dyDescent="0.25">
      <c r="B18355" s="1"/>
    </row>
    <row r="18356" spans="2:2" x14ac:dyDescent="0.25">
      <c r="B18356" s="1"/>
    </row>
    <row r="18357" spans="2:2" x14ac:dyDescent="0.25">
      <c r="B18357" s="1"/>
    </row>
    <row r="18358" spans="2:2" x14ac:dyDescent="0.25">
      <c r="B18358" s="1"/>
    </row>
    <row r="18359" spans="2:2" x14ac:dyDescent="0.25">
      <c r="B18359" s="1"/>
    </row>
    <row r="18360" spans="2:2" x14ac:dyDescent="0.25">
      <c r="B18360" s="1"/>
    </row>
    <row r="18361" spans="2:2" x14ac:dyDescent="0.25">
      <c r="B18361" s="1"/>
    </row>
    <row r="18362" spans="2:2" x14ac:dyDescent="0.25">
      <c r="B18362" s="1"/>
    </row>
    <row r="18363" spans="2:2" x14ac:dyDescent="0.25">
      <c r="B18363" s="1"/>
    </row>
    <row r="18364" spans="2:2" x14ac:dyDescent="0.25">
      <c r="B18364" s="1"/>
    </row>
    <row r="18365" spans="2:2" x14ac:dyDescent="0.25">
      <c r="B18365" s="1"/>
    </row>
    <row r="18366" spans="2:2" x14ac:dyDescent="0.25">
      <c r="B18366" s="1"/>
    </row>
    <row r="18367" spans="2:2" x14ac:dyDescent="0.25">
      <c r="B18367" s="1"/>
    </row>
    <row r="18368" spans="2:2" x14ac:dyDescent="0.25">
      <c r="B18368" s="1"/>
    </row>
    <row r="18369" spans="2:2" x14ac:dyDescent="0.25">
      <c r="B18369" s="1"/>
    </row>
    <row r="18370" spans="2:2" x14ac:dyDescent="0.25">
      <c r="B18370" s="1"/>
    </row>
    <row r="18371" spans="2:2" x14ac:dyDescent="0.25">
      <c r="B18371" s="1"/>
    </row>
    <row r="18372" spans="2:2" x14ac:dyDescent="0.25">
      <c r="B18372" s="1"/>
    </row>
    <row r="18373" spans="2:2" x14ac:dyDescent="0.25">
      <c r="B18373" s="1"/>
    </row>
    <row r="18374" spans="2:2" x14ac:dyDescent="0.25">
      <c r="B18374" s="1"/>
    </row>
    <row r="18375" spans="2:2" x14ac:dyDescent="0.25">
      <c r="B18375" s="1"/>
    </row>
    <row r="18376" spans="2:2" x14ac:dyDescent="0.25">
      <c r="B18376" s="1"/>
    </row>
    <row r="18377" spans="2:2" x14ac:dyDescent="0.25">
      <c r="B18377" s="1"/>
    </row>
    <row r="18378" spans="2:2" x14ac:dyDescent="0.25">
      <c r="B18378" s="1"/>
    </row>
    <row r="18379" spans="2:2" x14ac:dyDescent="0.25">
      <c r="B18379" s="1"/>
    </row>
    <row r="18380" spans="2:2" x14ac:dyDescent="0.25">
      <c r="B18380" s="1"/>
    </row>
    <row r="18381" spans="2:2" x14ac:dyDescent="0.25">
      <c r="B18381" s="1"/>
    </row>
    <row r="18382" spans="2:2" x14ac:dyDescent="0.25">
      <c r="B18382" s="1"/>
    </row>
    <row r="18383" spans="2:2" x14ac:dyDescent="0.25">
      <c r="B18383" s="1"/>
    </row>
    <row r="18384" spans="2:2" x14ac:dyDescent="0.25">
      <c r="B18384" s="1"/>
    </row>
    <row r="18385" spans="2:2" x14ac:dyDescent="0.25">
      <c r="B18385" s="1"/>
    </row>
    <row r="18386" spans="2:2" x14ac:dyDescent="0.25">
      <c r="B18386" s="1"/>
    </row>
    <row r="18387" spans="2:2" x14ac:dyDescent="0.25">
      <c r="B18387" s="1"/>
    </row>
    <row r="18388" spans="2:2" x14ac:dyDescent="0.25">
      <c r="B18388" s="1"/>
    </row>
    <row r="18389" spans="2:2" x14ac:dyDescent="0.25">
      <c r="B18389" s="1"/>
    </row>
    <row r="18390" spans="2:2" x14ac:dyDescent="0.25">
      <c r="B18390" s="1"/>
    </row>
    <row r="18391" spans="2:2" x14ac:dyDescent="0.25">
      <c r="B18391" s="1"/>
    </row>
    <row r="18392" spans="2:2" x14ac:dyDescent="0.25">
      <c r="B18392" s="1"/>
    </row>
    <row r="18393" spans="2:2" x14ac:dyDescent="0.25">
      <c r="B18393" s="1"/>
    </row>
    <row r="18394" spans="2:2" x14ac:dyDescent="0.25">
      <c r="B18394" s="1"/>
    </row>
    <row r="18395" spans="2:2" x14ac:dyDescent="0.25">
      <c r="B18395" s="1"/>
    </row>
    <row r="18396" spans="2:2" x14ac:dyDescent="0.25">
      <c r="B18396" s="1"/>
    </row>
    <row r="18397" spans="2:2" x14ac:dyDescent="0.25">
      <c r="B18397" s="1"/>
    </row>
    <row r="18398" spans="2:2" x14ac:dyDescent="0.25">
      <c r="B18398" s="1"/>
    </row>
    <row r="18399" spans="2:2" x14ac:dyDescent="0.25">
      <c r="B18399" s="1"/>
    </row>
    <row r="18400" spans="2:2" x14ac:dyDescent="0.25">
      <c r="B18400" s="1"/>
    </row>
    <row r="18401" spans="2:2" x14ac:dyDescent="0.25">
      <c r="B18401" s="1"/>
    </row>
    <row r="18402" spans="2:2" x14ac:dyDescent="0.25">
      <c r="B18402" s="1"/>
    </row>
    <row r="18403" spans="2:2" x14ac:dyDescent="0.25">
      <c r="B18403" s="1"/>
    </row>
    <row r="18404" spans="2:2" x14ac:dyDescent="0.25">
      <c r="B18404" s="1"/>
    </row>
    <row r="18405" spans="2:2" x14ac:dyDescent="0.25">
      <c r="B18405" s="1"/>
    </row>
    <row r="18406" spans="2:2" x14ac:dyDescent="0.25">
      <c r="B18406" s="1"/>
    </row>
    <row r="18407" spans="2:2" x14ac:dyDescent="0.25">
      <c r="B18407" s="1"/>
    </row>
    <row r="18408" spans="2:2" x14ac:dyDescent="0.25">
      <c r="B18408" s="1"/>
    </row>
    <row r="18409" spans="2:2" x14ac:dyDescent="0.25">
      <c r="B18409" s="1"/>
    </row>
    <row r="18410" spans="2:2" x14ac:dyDescent="0.25">
      <c r="B18410" s="1"/>
    </row>
    <row r="18411" spans="2:2" x14ac:dyDescent="0.25">
      <c r="B18411" s="1"/>
    </row>
    <row r="18412" spans="2:2" x14ac:dyDescent="0.25">
      <c r="B18412" s="1"/>
    </row>
    <row r="18413" spans="2:2" x14ac:dyDescent="0.25">
      <c r="B18413" s="1"/>
    </row>
    <row r="18414" spans="2:2" x14ac:dyDescent="0.25">
      <c r="B18414" s="1"/>
    </row>
    <row r="18415" spans="2:2" x14ac:dyDescent="0.25">
      <c r="B18415" s="1"/>
    </row>
    <row r="18416" spans="2:2" x14ac:dyDescent="0.25">
      <c r="B18416" s="1"/>
    </row>
    <row r="18417" spans="2:2" x14ac:dyDescent="0.25">
      <c r="B18417" s="1"/>
    </row>
    <row r="18418" spans="2:2" x14ac:dyDescent="0.25">
      <c r="B18418" s="1"/>
    </row>
    <row r="18419" spans="2:2" x14ac:dyDescent="0.25">
      <c r="B18419" s="1"/>
    </row>
    <row r="18420" spans="2:2" x14ac:dyDescent="0.25">
      <c r="B18420" s="1"/>
    </row>
    <row r="18421" spans="2:2" x14ac:dyDescent="0.25">
      <c r="B18421" s="1"/>
    </row>
    <row r="18422" spans="2:2" x14ac:dyDescent="0.25">
      <c r="B18422" s="1"/>
    </row>
    <row r="18423" spans="2:2" x14ac:dyDescent="0.25">
      <c r="B18423" s="1"/>
    </row>
    <row r="18424" spans="2:2" x14ac:dyDescent="0.25">
      <c r="B18424" s="1"/>
    </row>
    <row r="18425" spans="2:2" x14ac:dyDescent="0.25">
      <c r="B18425" s="1"/>
    </row>
    <row r="18426" spans="2:2" x14ac:dyDescent="0.25">
      <c r="B18426" s="1"/>
    </row>
    <row r="18427" spans="2:2" x14ac:dyDescent="0.25">
      <c r="B18427" s="1"/>
    </row>
    <row r="18428" spans="2:2" x14ac:dyDescent="0.25">
      <c r="B18428" s="1"/>
    </row>
    <row r="18429" spans="2:2" x14ac:dyDescent="0.25">
      <c r="B18429" s="1"/>
    </row>
    <row r="18430" spans="2:2" x14ac:dyDescent="0.25">
      <c r="B18430" s="1"/>
    </row>
    <row r="18431" spans="2:2" x14ac:dyDescent="0.25">
      <c r="B18431" s="1"/>
    </row>
    <row r="18432" spans="2:2" x14ac:dyDescent="0.25">
      <c r="B18432" s="1"/>
    </row>
    <row r="18433" spans="2:2" x14ac:dyDescent="0.25">
      <c r="B18433" s="1"/>
    </row>
    <row r="18434" spans="2:2" x14ac:dyDescent="0.25">
      <c r="B18434" s="1"/>
    </row>
    <row r="18435" spans="2:2" x14ac:dyDescent="0.25">
      <c r="B18435" s="1"/>
    </row>
    <row r="18436" spans="2:2" x14ac:dyDescent="0.25">
      <c r="B18436" s="1"/>
    </row>
    <row r="18437" spans="2:2" x14ac:dyDescent="0.25">
      <c r="B18437" s="1"/>
    </row>
    <row r="18438" spans="2:2" x14ac:dyDescent="0.25">
      <c r="B18438" s="1"/>
    </row>
    <row r="18439" spans="2:2" x14ac:dyDescent="0.25">
      <c r="B18439" s="1"/>
    </row>
    <row r="18440" spans="2:2" x14ac:dyDescent="0.25">
      <c r="B18440" s="1"/>
    </row>
    <row r="18441" spans="2:2" x14ac:dyDescent="0.25">
      <c r="B18441" s="1"/>
    </row>
    <row r="18442" spans="2:2" x14ac:dyDescent="0.25">
      <c r="B18442" s="1"/>
    </row>
    <row r="18443" spans="2:2" x14ac:dyDescent="0.25">
      <c r="B18443" s="1"/>
    </row>
    <row r="18444" spans="2:2" x14ac:dyDescent="0.25">
      <c r="B18444" s="1"/>
    </row>
    <row r="18445" spans="2:2" x14ac:dyDescent="0.25">
      <c r="B18445" s="1"/>
    </row>
    <row r="18446" spans="2:2" x14ac:dyDescent="0.25">
      <c r="B18446" s="1"/>
    </row>
    <row r="18447" spans="2:2" x14ac:dyDescent="0.25">
      <c r="B18447" s="1"/>
    </row>
    <row r="18448" spans="2:2" x14ac:dyDescent="0.25">
      <c r="B18448" s="1"/>
    </row>
    <row r="18449" spans="2:2" x14ac:dyDescent="0.25">
      <c r="B18449" s="1"/>
    </row>
    <row r="18450" spans="2:2" x14ac:dyDescent="0.25">
      <c r="B18450" s="1"/>
    </row>
    <row r="18451" spans="2:2" x14ac:dyDescent="0.25">
      <c r="B18451" s="1"/>
    </row>
    <row r="18452" spans="2:2" x14ac:dyDescent="0.25">
      <c r="B18452" s="1"/>
    </row>
    <row r="18453" spans="2:2" x14ac:dyDescent="0.25">
      <c r="B18453" s="1"/>
    </row>
    <row r="18454" spans="2:2" x14ac:dyDescent="0.25">
      <c r="B18454" s="1"/>
    </row>
    <row r="18455" spans="2:2" x14ac:dyDescent="0.25">
      <c r="B18455" s="1"/>
    </row>
    <row r="18456" spans="2:2" x14ac:dyDescent="0.25">
      <c r="B18456" s="1"/>
    </row>
    <row r="18457" spans="2:2" x14ac:dyDescent="0.25">
      <c r="B18457" s="1"/>
    </row>
    <row r="18458" spans="2:2" x14ac:dyDescent="0.25">
      <c r="B18458" s="1"/>
    </row>
    <row r="18459" spans="2:2" x14ac:dyDescent="0.25">
      <c r="B18459" s="1"/>
    </row>
    <row r="18460" spans="2:2" x14ac:dyDescent="0.25">
      <c r="B18460" s="1"/>
    </row>
    <row r="18461" spans="2:2" x14ac:dyDescent="0.25">
      <c r="B18461" s="1"/>
    </row>
    <row r="18462" spans="2:2" x14ac:dyDescent="0.25">
      <c r="B18462" s="1"/>
    </row>
    <row r="18463" spans="2:2" x14ac:dyDescent="0.25">
      <c r="B18463" s="1"/>
    </row>
    <row r="18464" spans="2:2" x14ac:dyDescent="0.25">
      <c r="B18464" s="1"/>
    </row>
    <row r="18465" spans="2:2" x14ac:dyDescent="0.25">
      <c r="B18465" s="1"/>
    </row>
    <row r="18466" spans="2:2" x14ac:dyDescent="0.25">
      <c r="B18466" s="1"/>
    </row>
    <row r="18467" spans="2:2" x14ac:dyDescent="0.25">
      <c r="B18467" s="1"/>
    </row>
    <row r="18468" spans="2:2" x14ac:dyDescent="0.25">
      <c r="B18468" s="1"/>
    </row>
    <row r="18469" spans="2:2" x14ac:dyDescent="0.25">
      <c r="B18469" s="1"/>
    </row>
    <row r="18470" spans="2:2" x14ac:dyDescent="0.25">
      <c r="B18470" s="1"/>
    </row>
    <row r="18471" spans="2:2" x14ac:dyDescent="0.25">
      <c r="B18471" s="1"/>
    </row>
    <row r="18472" spans="2:2" x14ac:dyDescent="0.25">
      <c r="B18472" s="1"/>
    </row>
    <row r="18473" spans="2:2" x14ac:dyDescent="0.25">
      <c r="B18473" s="1"/>
    </row>
    <row r="18474" spans="2:2" x14ac:dyDescent="0.25">
      <c r="B18474" s="1"/>
    </row>
    <row r="18475" spans="2:2" x14ac:dyDescent="0.25">
      <c r="B18475" s="1"/>
    </row>
    <row r="18476" spans="2:2" x14ac:dyDescent="0.25">
      <c r="B18476" s="1"/>
    </row>
    <row r="18477" spans="2:2" x14ac:dyDescent="0.25">
      <c r="B18477" s="1"/>
    </row>
    <row r="18478" spans="2:2" x14ac:dyDescent="0.25">
      <c r="B18478" s="1"/>
    </row>
    <row r="18479" spans="2:2" x14ac:dyDescent="0.25">
      <c r="B18479" s="1"/>
    </row>
    <row r="18480" spans="2:2" x14ac:dyDescent="0.25">
      <c r="B18480" s="1"/>
    </row>
    <row r="18481" spans="2:2" x14ac:dyDescent="0.25">
      <c r="B18481" s="1"/>
    </row>
    <row r="18482" spans="2:2" x14ac:dyDescent="0.25">
      <c r="B18482" s="1"/>
    </row>
    <row r="18483" spans="2:2" x14ac:dyDescent="0.25">
      <c r="B18483" s="1"/>
    </row>
    <row r="18484" spans="2:2" x14ac:dyDescent="0.25">
      <c r="B18484" s="1"/>
    </row>
    <row r="18485" spans="2:2" x14ac:dyDescent="0.25">
      <c r="B18485" s="1"/>
    </row>
    <row r="18486" spans="2:2" x14ac:dyDescent="0.25">
      <c r="B18486" s="1"/>
    </row>
    <row r="18487" spans="2:2" x14ac:dyDescent="0.25">
      <c r="B18487" s="1"/>
    </row>
    <row r="18488" spans="2:2" x14ac:dyDescent="0.25">
      <c r="B18488" s="1"/>
    </row>
    <row r="18489" spans="2:2" x14ac:dyDescent="0.25">
      <c r="B18489" s="1"/>
    </row>
    <row r="18490" spans="2:2" x14ac:dyDescent="0.25">
      <c r="B18490" s="1"/>
    </row>
    <row r="18491" spans="2:2" x14ac:dyDescent="0.25">
      <c r="B18491" s="1"/>
    </row>
    <row r="18492" spans="2:2" x14ac:dyDescent="0.25">
      <c r="B18492" s="1"/>
    </row>
    <row r="18493" spans="2:2" x14ac:dyDescent="0.25">
      <c r="B18493" s="1"/>
    </row>
    <row r="18494" spans="2:2" x14ac:dyDescent="0.25">
      <c r="B18494" s="1"/>
    </row>
    <row r="18495" spans="2:2" x14ac:dyDescent="0.25">
      <c r="B18495" s="1"/>
    </row>
    <row r="18496" spans="2:2" x14ac:dyDescent="0.25">
      <c r="B18496" s="1"/>
    </row>
    <row r="18497" spans="2:2" x14ac:dyDescent="0.25">
      <c r="B18497" s="1"/>
    </row>
    <row r="18498" spans="2:2" x14ac:dyDescent="0.25">
      <c r="B18498" s="1"/>
    </row>
    <row r="18499" spans="2:2" x14ac:dyDescent="0.25">
      <c r="B18499" s="1"/>
    </row>
    <row r="18500" spans="2:2" x14ac:dyDescent="0.25">
      <c r="B18500" s="1"/>
    </row>
    <row r="18501" spans="2:2" x14ac:dyDescent="0.25">
      <c r="B18501" s="1"/>
    </row>
    <row r="18502" spans="2:2" x14ac:dyDescent="0.25">
      <c r="B18502" s="1"/>
    </row>
    <row r="18503" spans="2:2" x14ac:dyDescent="0.25">
      <c r="B18503" s="1"/>
    </row>
    <row r="18504" spans="2:2" x14ac:dyDescent="0.25">
      <c r="B18504" s="1"/>
    </row>
    <row r="18505" spans="2:2" x14ac:dyDescent="0.25">
      <c r="B18505" s="1"/>
    </row>
    <row r="18506" spans="2:2" x14ac:dyDescent="0.25">
      <c r="B18506" s="1"/>
    </row>
    <row r="18507" spans="2:2" x14ac:dyDescent="0.25">
      <c r="B18507" s="1"/>
    </row>
    <row r="18508" spans="2:2" x14ac:dyDescent="0.25">
      <c r="B18508" s="1"/>
    </row>
    <row r="18509" spans="2:2" x14ac:dyDescent="0.25">
      <c r="B18509" s="1"/>
    </row>
    <row r="18510" spans="2:2" x14ac:dyDescent="0.25">
      <c r="B18510" s="1"/>
    </row>
    <row r="18511" spans="2:2" x14ac:dyDescent="0.25">
      <c r="B18511" s="1"/>
    </row>
    <row r="18512" spans="2:2" x14ac:dyDescent="0.25">
      <c r="B18512" s="1"/>
    </row>
    <row r="18513" spans="2:2" x14ac:dyDescent="0.25">
      <c r="B18513" s="1"/>
    </row>
    <row r="18514" spans="2:2" x14ac:dyDescent="0.25">
      <c r="B18514" s="1"/>
    </row>
    <row r="18515" spans="2:2" x14ac:dyDescent="0.25">
      <c r="B18515" s="1"/>
    </row>
    <row r="18516" spans="2:2" x14ac:dyDescent="0.25">
      <c r="B18516" s="1"/>
    </row>
    <row r="18517" spans="2:2" x14ac:dyDescent="0.25">
      <c r="B18517" s="1"/>
    </row>
    <row r="18518" spans="2:2" x14ac:dyDescent="0.25">
      <c r="B18518" s="1"/>
    </row>
    <row r="18519" spans="2:2" x14ac:dyDescent="0.25">
      <c r="B18519" s="1"/>
    </row>
    <row r="18520" spans="2:2" x14ac:dyDescent="0.25">
      <c r="B18520" s="1"/>
    </row>
    <row r="18521" spans="2:2" x14ac:dyDescent="0.25">
      <c r="B18521" s="1"/>
    </row>
    <row r="18522" spans="2:2" x14ac:dyDescent="0.25">
      <c r="B18522" s="1"/>
    </row>
    <row r="18523" spans="2:2" x14ac:dyDescent="0.25">
      <c r="B18523" s="1"/>
    </row>
    <row r="18524" spans="2:2" x14ac:dyDescent="0.25">
      <c r="B18524" s="1"/>
    </row>
    <row r="18525" spans="2:2" x14ac:dyDescent="0.25">
      <c r="B18525" s="1"/>
    </row>
    <row r="18526" spans="2:2" x14ac:dyDescent="0.25">
      <c r="B18526" s="1"/>
    </row>
    <row r="18527" spans="2:2" x14ac:dyDescent="0.25">
      <c r="B18527" s="1"/>
    </row>
    <row r="18528" spans="2:2" x14ac:dyDescent="0.25">
      <c r="B18528" s="1"/>
    </row>
    <row r="18529" spans="2:2" x14ac:dyDescent="0.25">
      <c r="B18529" s="1"/>
    </row>
    <row r="18530" spans="2:2" x14ac:dyDescent="0.25">
      <c r="B18530" s="1"/>
    </row>
    <row r="18531" spans="2:2" x14ac:dyDescent="0.25">
      <c r="B18531" s="1"/>
    </row>
    <row r="18532" spans="2:2" x14ac:dyDescent="0.25">
      <c r="B18532" s="1"/>
    </row>
    <row r="18533" spans="2:2" x14ac:dyDescent="0.25">
      <c r="B18533" s="1"/>
    </row>
    <row r="18534" spans="2:2" x14ac:dyDescent="0.25">
      <c r="B18534" s="1"/>
    </row>
    <row r="18535" spans="2:2" x14ac:dyDescent="0.25">
      <c r="B18535" s="1"/>
    </row>
    <row r="18536" spans="2:2" x14ac:dyDescent="0.25">
      <c r="B18536" s="1"/>
    </row>
    <row r="18537" spans="2:2" x14ac:dyDescent="0.25">
      <c r="B18537" s="1"/>
    </row>
    <row r="18538" spans="2:2" x14ac:dyDescent="0.25">
      <c r="B18538" s="1"/>
    </row>
    <row r="18539" spans="2:2" x14ac:dyDescent="0.25">
      <c r="B18539" s="1"/>
    </row>
    <row r="18540" spans="2:2" x14ac:dyDescent="0.25">
      <c r="B18540" s="1"/>
    </row>
    <row r="18541" spans="2:2" x14ac:dyDescent="0.25">
      <c r="B18541" s="1"/>
    </row>
    <row r="18542" spans="2:2" x14ac:dyDescent="0.25">
      <c r="B18542" s="1"/>
    </row>
    <row r="18543" spans="2:2" x14ac:dyDescent="0.25">
      <c r="B18543" s="1"/>
    </row>
    <row r="18544" spans="2:2" x14ac:dyDescent="0.25">
      <c r="B18544" s="1"/>
    </row>
    <row r="18545" spans="2:2" x14ac:dyDescent="0.25">
      <c r="B18545" s="1"/>
    </row>
    <row r="18546" spans="2:2" x14ac:dyDescent="0.25">
      <c r="B18546" s="1"/>
    </row>
    <row r="18547" spans="2:2" x14ac:dyDescent="0.25">
      <c r="B18547" s="1"/>
    </row>
    <row r="18548" spans="2:2" x14ac:dyDescent="0.25">
      <c r="B18548" s="1"/>
    </row>
    <row r="18549" spans="2:2" x14ac:dyDescent="0.25">
      <c r="B18549" s="1"/>
    </row>
    <row r="18550" spans="2:2" x14ac:dyDescent="0.25">
      <c r="B18550" s="1"/>
    </row>
    <row r="18551" spans="2:2" x14ac:dyDescent="0.25">
      <c r="B18551" s="1"/>
    </row>
    <row r="18552" spans="2:2" x14ac:dyDescent="0.25">
      <c r="B18552" s="1"/>
    </row>
    <row r="18553" spans="2:2" x14ac:dyDescent="0.25">
      <c r="B18553" s="1"/>
    </row>
    <row r="18554" spans="2:2" x14ac:dyDescent="0.25">
      <c r="B18554" s="1"/>
    </row>
    <row r="18555" spans="2:2" x14ac:dyDescent="0.25">
      <c r="B18555" s="1"/>
    </row>
    <row r="18556" spans="2:2" x14ac:dyDescent="0.25">
      <c r="B18556" s="1"/>
    </row>
    <row r="18557" spans="2:2" x14ac:dyDescent="0.25">
      <c r="B18557" s="1"/>
    </row>
    <row r="18558" spans="2:2" x14ac:dyDescent="0.25">
      <c r="B18558" s="1"/>
    </row>
    <row r="18559" spans="2:2" x14ac:dyDescent="0.25">
      <c r="B18559" s="1"/>
    </row>
    <row r="18560" spans="2:2" x14ac:dyDescent="0.25">
      <c r="B18560" s="1"/>
    </row>
    <row r="18561" spans="2:2" x14ac:dyDescent="0.25">
      <c r="B18561" s="1"/>
    </row>
    <row r="18562" spans="2:2" x14ac:dyDescent="0.25">
      <c r="B18562" s="1"/>
    </row>
    <row r="18563" spans="2:2" x14ac:dyDescent="0.25">
      <c r="B18563" s="1"/>
    </row>
    <row r="18564" spans="2:2" x14ac:dyDescent="0.25">
      <c r="B18564" s="1"/>
    </row>
    <row r="18565" spans="2:2" x14ac:dyDescent="0.25">
      <c r="B18565" s="1"/>
    </row>
    <row r="18566" spans="2:2" x14ac:dyDescent="0.25">
      <c r="B18566" s="1"/>
    </row>
    <row r="18567" spans="2:2" x14ac:dyDescent="0.25">
      <c r="B18567" s="1"/>
    </row>
    <row r="18568" spans="2:2" x14ac:dyDescent="0.25">
      <c r="B18568" s="1"/>
    </row>
    <row r="18569" spans="2:2" x14ac:dyDescent="0.25">
      <c r="B18569" s="1"/>
    </row>
    <row r="18570" spans="2:2" x14ac:dyDescent="0.25">
      <c r="B18570" s="1"/>
    </row>
    <row r="18571" spans="2:2" x14ac:dyDescent="0.25">
      <c r="B18571" s="1"/>
    </row>
    <row r="18572" spans="2:2" x14ac:dyDescent="0.25">
      <c r="B18572" s="1"/>
    </row>
    <row r="18573" spans="2:2" x14ac:dyDescent="0.25">
      <c r="B18573" s="1"/>
    </row>
    <row r="18574" spans="2:2" x14ac:dyDescent="0.25">
      <c r="B18574" s="1"/>
    </row>
    <row r="18575" spans="2:2" x14ac:dyDescent="0.25">
      <c r="B18575" s="1"/>
    </row>
    <row r="18576" spans="2:2" x14ac:dyDescent="0.25">
      <c r="B18576" s="1"/>
    </row>
    <row r="18577" spans="2:2" x14ac:dyDescent="0.25">
      <c r="B18577" s="1"/>
    </row>
    <row r="18578" spans="2:2" x14ac:dyDescent="0.25">
      <c r="B18578" s="1"/>
    </row>
    <row r="18579" spans="2:2" x14ac:dyDescent="0.25">
      <c r="B18579" s="1"/>
    </row>
    <row r="18580" spans="2:2" x14ac:dyDescent="0.25">
      <c r="B18580" s="1"/>
    </row>
    <row r="18581" spans="2:2" x14ac:dyDescent="0.25">
      <c r="B18581" s="1"/>
    </row>
    <row r="18582" spans="2:2" x14ac:dyDescent="0.25">
      <c r="B18582" s="1"/>
    </row>
    <row r="18583" spans="2:2" x14ac:dyDescent="0.25">
      <c r="B18583" s="1"/>
    </row>
    <row r="18584" spans="2:2" x14ac:dyDescent="0.25">
      <c r="B18584" s="1"/>
    </row>
    <row r="18585" spans="2:2" x14ac:dyDescent="0.25">
      <c r="B18585" s="1"/>
    </row>
    <row r="18586" spans="2:2" x14ac:dyDescent="0.25">
      <c r="B18586" s="1"/>
    </row>
    <row r="18587" spans="2:2" x14ac:dyDescent="0.25">
      <c r="B18587" s="1"/>
    </row>
    <row r="18588" spans="2:2" x14ac:dyDescent="0.25">
      <c r="B18588" s="1"/>
    </row>
    <row r="18589" spans="2:2" x14ac:dyDescent="0.25">
      <c r="B18589" s="1"/>
    </row>
    <row r="18590" spans="2:2" x14ac:dyDescent="0.25">
      <c r="B18590" s="1"/>
    </row>
    <row r="18591" spans="2:2" x14ac:dyDescent="0.25">
      <c r="B18591" s="1"/>
    </row>
    <row r="18592" spans="2:2" x14ac:dyDescent="0.25">
      <c r="B18592" s="1"/>
    </row>
    <row r="18593" spans="2:2" x14ac:dyDescent="0.25">
      <c r="B18593" s="1"/>
    </row>
    <row r="18594" spans="2:2" x14ac:dyDescent="0.25">
      <c r="B18594" s="1"/>
    </row>
    <row r="18595" spans="2:2" x14ac:dyDescent="0.25">
      <c r="B18595" s="1"/>
    </row>
    <row r="18596" spans="2:2" x14ac:dyDescent="0.25">
      <c r="B18596" s="1"/>
    </row>
    <row r="18597" spans="2:2" x14ac:dyDescent="0.25">
      <c r="B18597" s="1"/>
    </row>
    <row r="18598" spans="2:2" x14ac:dyDescent="0.25">
      <c r="B18598" s="1"/>
    </row>
    <row r="18599" spans="2:2" x14ac:dyDescent="0.25">
      <c r="B18599" s="1"/>
    </row>
    <row r="18600" spans="2:2" x14ac:dyDescent="0.25">
      <c r="B18600" s="1"/>
    </row>
    <row r="18601" spans="2:2" x14ac:dyDescent="0.25">
      <c r="B18601" s="1"/>
    </row>
    <row r="18602" spans="2:2" x14ac:dyDescent="0.25">
      <c r="B18602" s="1"/>
    </row>
    <row r="18603" spans="2:2" x14ac:dyDescent="0.25">
      <c r="B18603" s="1"/>
    </row>
    <row r="18604" spans="2:2" x14ac:dyDescent="0.25">
      <c r="B18604" s="1"/>
    </row>
    <row r="18605" spans="2:2" x14ac:dyDescent="0.25">
      <c r="B18605" s="1"/>
    </row>
    <row r="18606" spans="2:2" x14ac:dyDescent="0.25">
      <c r="B18606" s="1"/>
    </row>
    <row r="18607" spans="2:2" x14ac:dyDescent="0.25">
      <c r="B18607" s="1"/>
    </row>
    <row r="18608" spans="2:2" x14ac:dyDescent="0.25">
      <c r="B18608" s="1"/>
    </row>
    <row r="18609" spans="2:2" x14ac:dyDescent="0.25">
      <c r="B18609" s="1"/>
    </row>
    <row r="18610" spans="2:2" x14ac:dyDescent="0.25">
      <c r="B18610" s="1"/>
    </row>
    <row r="18611" spans="2:2" x14ac:dyDescent="0.25">
      <c r="B18611" s="1"/>
    </row>
    <row r="18612" spans="2:2" x14ac:dyDescent="0.25">
      <c r="B18612" s="1"/>
    </row>
    <row r="18613" spans="2:2" x14ac:dyDescent="0.25">
      <c r="B18613" s="1"/>
    </row>
    <row r="18614" spans="2:2" x14ac:dyDescent="0.25">
      <c r="B18614" s="1"/>
    </row>
    <row r="18615" spans="2:2" x14ac:dyDescent="0.25">
      <c r="B18615" s="1"/>
    </row>
    <row r="18616" spans="2:2" x14ac:dyDescent="0.25">
      <c r="B18616" s="1"/>
    </row>
    <row r="18617" spans="2:2" x14ac:dyDescent="0.25">
      <c r="B18617" s="1"/>
    </row>
    <row r="18618" spans="2:2" x14ac:dyDescent="0.25">
      <c r="B18618" s="1"/>
    </row>
    <row r="18619" spans="2:2" x14ac:dyDescent="0.25">
      <c r="B18619" s="1"/>
    </row>
    <row r="18620" spans="2:2" x14ac:dyDescent="0.25">
      <c r="B18620" s="1"/>
    </row>
    <row r="18621" spans="2:2" x14ac:dyDescent="0.25">
      <c r="B18621" s="1"/>
    </row>
    <row r="18622" spans="2:2" x14ac:dyDescent="0.25">
      <c r="B18622" s="1"/>
    </row>
    <row r="18623" spans="2:2" x14ac:dyDescent="0.25">
      <c r="B18623" s="1"/>
    </row>
    <row r="18624" spans="2:2" x14ac:dyDescent="0.25">
      <c r="B18624" s="1"/>
    </row>
    <row r="18625" spans="2:2" x14ac:dyDescent="0.25">
      <c r="B18625" s="1"/>
    </row>
    <row r="18626" spans="2:2" x14ac:dyDescent="0.25">
      <c r="B18626" s="1"/>
    </row>
    <row r="18627" spans="2:2" x14ac:dyDescent="0.25">
      <c r="B18627" s="1"/>
    </row>
    <row r="18628" spans="2:2" x14ac:dyDescent="0.25">
      <c r="B18628" s="1"/>
    </row>
    <row r="18629" spans="2:2" x14ac:dyDescent="0.25">
      <c r="B18629" s="1"/>
    </row>
    <row r="18630" spans="2:2" x14ac:dyDescent="0.25">
      <c r="B18630" s="1"/>
    </row>
    <row r="18631" spans="2:2" x14ac:dyDescent="0.25">
      <c r="B18631" s="1"/>
    </row>
    <row r="18632" spans="2:2" x14ac:dyDescent="0.25">
      <c r="B18632" s="1"/>
    </row>
    <row r="18633" spans="2:2" x14ac:dyDescent="0.25">
      <c r="B18633" s="1"/>
    </row>
    <row r="18634" spans="2:2" x14ac:dyDescent="0.25">
      <c r="B18634" s="1"/>
    </row>
    <row r="18635" spans="2:2" x14ac:dyDescent="0.25">
      <c r="B18635" s="1"/>
    </row>
    <row r="18636" spans="2:2" x14ac:dyDescent="0.25">
      <c r="B18636" s="1"/>
    </row>
    <row r="18637" spans="2:2" x14ac:dyDescent="0.25">
      <c r="B18637" s="1"/>
    </row>
    <row r="18638" spans="2:2" x14ac:dyDescent="0.25">
      <c r="B18638" s="1"/>
    </row>
    <row r="18639" spans="2:2" x14ac:dyDescent="0.25">
      <c r="B18639" s="1"/>
    </row>
    <row r="18640" spans="2:2" x14ac:dyDescent="0.25">
      <c r="B18640" s="1"/>
    </row>
    <row r="18641" spans="2:2" x14ac:dyDescent="0.25">
      <c r="B18641" s="1"/>
    </row>
    <row r="18642" spans="2:2" x14ac:dyDescent="0.25">
      <c r="B18642" s="1"/>
    </row>
    <row r="18643" spans="2:2" x14ac:dyDescent="0.25">
      <c r="B18643" s="1"/>
    </row>
    <row r="18644" spans="2:2" x14ac:dyDescent="0.25">
      <c r="B18644" s="1"/>
    </row>
    <row r="18645" spans="2:2" x14ac:dyDescent="0.25">
      <c r="B18645" s="1"/>
    </row>
    <row r="18646" spans="2:2" x14ac:dyDescent="0.25">
      <c r="B18646" s="1"/>
    </row>
    <row r="18647" spans="2:2" x14ac:dyDescent="0.25">
      <c r="B18647" s="1"/>
    </row>
    <row r="18648" spans="2:2" x14ac:dyDescent="0.25">
      <c r="B18648" s="1"/>
    </row>
    <row r="18649" spans="2:2" x14ac:dyDescent="0.25">
      <c r="B18649" s="1"/>
    </row>
    <row r="18650" spans="2:2" x14ac:dyDescent="0.25">
      <c r="B18650" s="1"/>
    </row>
    <row r="18651" spans="2:2" x14ac:dyDescent="0.25">
      <c r="B18651" s="1"/>
    </row>
    <row r="18652" spans="2:2" x14ac:dyDescent="0.25">
      <c r="B18652" s="1"/>
    </row>
    <row r="18653" spans="2:2" x14ac:dyDescent="0.25">
      <c r="B18653" s="1"/>
    </row>
    <row r="18654" spans="2:2" x14ac:dyDescent="0.25">
      <c r="B18654" s="1"/>
    </row>
    <row r="18655" spans="2:2" x14ac:dyDescent="0.25">
      <c r="B18655" s="1"/>
    </row>
    <row r="18656" spans="2:2" x14ac:dyDescent="0.25">
      <c r="B18656" s="1"/>
    </row>
    <row r="18657" spans="2:2" x14ac:dyDescent="0.25">
      <c r="B18657" s="1"/>
    </row>
    <row r="18658" spans="2:2" x14ac:dyDescent="0.25">
      <c r="B18658" s="1"/>
    </row>
    <row r="18659" spans="2:2" x14ac:dyDescent="0.25">
      <c r="B18659" s="1"/>
    </row>
    <row r="18660" spans="2:2" x14ac:dyDescent="0.25">
      <c r="B18660" s="1"/>
    </row>
    <row r="18661" spans="2:2" x14ac:dyDescent="0.25">
      <c r="B18661" s="1"/>
    </row>
    <row r="18662" spans="2:2" x14ac:dyDescent="0.25">
      <c r="B18662" s="1"/>
    </row>
    <row r="18663" spans="2:2" x14ac:dyDescent="0.25">
      <c r="B18663" s="1"/>
    </row>
    <row r="18664" spans="2:2" x14ac:dyDescent="0.25">
      <c r="B18664" s="1"/>
    </row>
    <row r="18665" spans="2:2" x14ac:dyDescent="0.25">
      <c r="B18665" s="1"/>
    </row>
    <row r="18666" spans="2:2" x14ac:dyDescent="0.25">
      <c r="B18666" s="1"/>
    </row>
    <row r="18667" spans="2:2" x14ac:dyDescent="0.25">
      <c r="B18667" s="1"/>
    </row>
    <row r="18668" spans="2:2" x14ac:dyDescent="0.25">
      <c r="B18668" s="1"/>
    </row>
    <row r="18669" spans="2:2" x14ac:dyDescent="0.25">
      <c r="B18669" s="1"/>
    </row>
    <row r="18670" spans="2:2" x14ac:dyDescent="0.25">
      <c r="B18670" s="1"/>
    </row>
    <row r="18671" spans="2:2" x14ac:dyDescent="0.25">
      <c r="B18671" s="1"/>
    </row>
    <row r="18672" spans="2:2" x14ac:dyDescent="0.25">
      <c r="B18672" s="1"/>
    </row>
    <row r="18673" spans="2:2" x14ac:dyDescent="0.25">
      <c r="B18673" s="1"/>
    </row>
    <row r="18674" spans="2:2" x14ac:dyDescent="0.25">
      <c r="B18674" s="1"/>
    </row>
    <row r="18675" spans="2:2" x14ac:dyDescent="0.25">
      <c r="B18675" s="1"/>
    </row>
    <row r="18676" spans="2:2" x14ac:dyDescent="0.25">
      <c r="B18676" s="1"/>
    </row>
    <row r="18677" spans="2:2" x14ac:dyDescent="0.25">
      <c r="B18677" s="1"/>
    </row>
    <row r="18678" spans="2:2" x14ac:dyDescent="0.25">
      <c r="B18678" s="1"/>
    </row>
    <row r="18679" spans="2:2" x14ac:dyDescent="0.25">
      <c r="B18679" s="1"/>
    </row>
    <row r="18680" spans="2:2" x14ac:dyDescent="0.25">
      <c r="B18680" s="1"/>
    </row>
    <row r="18681" spans="2:2" x14ac:dyDescent="0.25">
      <c r="B18681" s="1"/>
    </row>
    <row r="18682" spans="2:2" x14ac:dyDescent="0.25">
      <c r="B18682" s="1"/>
    </row>
    <row r="18683" spans="2:2" x14ac:dyDescent="0.25">
      <c r="B18683" s="1"/>
    </row>
    <row r="18684" spans="2:2" x14ac:dyDescent="0.25">
      <c r="B18684" s="1"/>
    </row>
    <row r="18685" spans="2:2" x14ac:dyDescent="0.25">
      <c r="B18685" s="1"/>
    </row>
    <row r="18686" spans="2:2" x14ac:dyDescent="0.25">
      <c r="B18686" s="1"/>
    </row>
    <row r="18687" spans="2:2" x14ac:dyDescent="0.25">
      <c r="B18687" s="1"/>
    </row>
    <row r="18688" spans="2:2" x14ac:dyDescent="0.25">
      <c r="B18688" s="1"/>
    </row>
    <row r="18689" spans="2:2" x14ac:dyDescent="0.25">
      <c r="B18689" s="1"/>
    </row>
    <row r="18690" spans="2:2" x14ac:dyDescent="0.25">
      <c r="B18690" s="1"/>
    </row>
    <row r="18691" spans="2:2" x14ac:dyDescent="0.25">
      <c r="B18691" s="1"/>
    </row>
    <row r="18692" spans="2:2" x14ac:dyDescent="0.25">
      <c r="B18692" s="1"/>
    </row>
    <row r="18693" spans="2:2" x14ac:dyDescent="0.25">
      <c r="B18693" s="1"/>
    </row>
    <row r="18694" spans="2:2" x14ac:dyDescent="0.25">
      <c r="B18694" s="1"/>
    </row>
    <row r="18695" spans="2:2" x14ac:dyDescent="0.25">
      <c r="B18695" s="1"/>
    </row>
    <row r="18696" spans="2:2" x14ac:dyDescent="0.25">
      <c r="B18696" s="1"/>
    </row>
    <row r="18697" spans="2:2" x14ac:dyDescent="0.25">
      <c r="B18697" s="1"/>
    </row>
    <row r="18698" spans="2:2" x14ac:dyDescent="0.25">
      <c r="B18698" s="1"/>
    </row>
    <row r="18699" spans="2:2" x14ac:dyDescent="0.25">
      <c r="B18699" s="1"/>
    </row>
    <row r="18700" spans="2:2" x14ac:dyDescent="0.25">
      <c r="B18700" s="1"/>
    </row>
    <row r="18701" spans="2:2" x14ac:dyDescent="0.25">
      <c r="B18701" s="1"/>
    </row>
    <row r="18702" spans="2:2" x14ac:dyDescent="0.25">
      <c r="B18702" s="1"/>
    </row>
    <row r="18703" spans="2:2" x14ac:dyDescent="0.25">
      <c r="B18703" s="1"/>
    </row>
    <row r="18704" spans="2:2" x14ac:dyDescent="0.25">
      <c r="B18704" s="1"/>
    </row>
    <row r="18705" spans="2:2" x14ac:dyDescent="0.25">
      <c r="B18705" s="1"/>
    </row>
    <row r="18706" spans="2:2" x14ac:dyDescent="0.25">
      <c r="B18706" s="1"/>
    </row>
    <row r="18707" spans="2:2" x14ac:dyDescent="0.25">
      <c r="B18707" s="1"/>
    </row>
    <row r="18708" spans="2:2" x14ac:dyDescent="0.25">
      <c r="B18708" s="1"/>
    </row>
    <row r="18709" spans="2:2" x14ac:dyDescent="0.25">
      <c r="B18709" s="1"/>
    </row>
    <row r="18710" spans="2:2" x14ac:dyDescent="0.25">
      <c r="B18710" s="1"/>
    </row>
    <row r="18711" spans="2:2" x14ac:dyDescent="0.25">
      <c r="B18711" s="1"/>
    </row>
    <row r="18712" spans="2:2" x14ac:dyDescent="0.25">
      <c r="B18712" s="1"/>
    </row>
    <row r="18713" spans="2:2" x14ac:dyDescent="0.25">
      <c r="B18713" s="1"/>
    </row>
    <row r="18714" spans="2:2" x14ac:dyDescent="0.25">
      <c r="B18714" s="1"/>
    </row>
    <row r="18715" spans="2:2" x14ac:dyDescent="0.25">
      <c r="B18715" s="1"/>
    </row>
    <row r="18716" spans="2:2" x14ac:dyDescent="0.25">
      <c r="B18716" s="1"/>
    </row>
    <row r="18717" spans="2:2" x14ac:dyDescent="0.25">
      <c r="B18717" s="1"/>
    </row>
    <row r="18718" spans="2:2" x14ac:dyDescent="0.25">
      <c r="B18718" s="1"/>
    </row>
    <row r="18719" spans="2:2" x14ac:dyDescent="0.25">
      <c r="B18719" s="1"/>
    </row>
    <row r="18720" spans="2:2" x14ac:dyDescent="0.25">
      <c r="B18720" s="1"/>
    </row>
    <row r="18721" spans="2:2" x14ac:dyDescent="0.25">
      <c r="B18721" s="1"/>
    </row>
    <row r="18722" spans="2:2" x14ac:dyDescent="0.25">
      <c r="B18722" s="1"/>
    </row>
    <row r="18723" spans="2:2" x14ac:dyDescent="0.25">
      <c r="B18723" s="1"/>
    </row>
    <row r="18724" spans="2:2" x14ac:dyDescent="0.25">
      <c r="B18724" s="1"/>
    </row>
    <row r="18725" spans="2:2" x14ac:dyDescent="0.25">
      <c r="B18725" s="1"/>
    </row>
    <row r="18726" spans="2:2" x14ac:dyDescent="0.25">
      <c r="B18726" s="1"/>
    </row>
    <row r="18727" spans="2:2" x14ac:dyDescent="0.25">
      <c r="B18727" s="1"/>
    </row>
    <row r="18728" spans="2:2" x14ac:dyDescent="0.25">
      <c r="B18728" s="1"/>
    </row>
    <row r="18729" spans="2:2" x14ac:dyDescent="0.25">
      <c r="B18729" s="1"/>
    </row>
    <row r="18730" spans="2:2" x14ac:dyDescent="0.25">
      <c r="B18730" s="1"/>
    </row>
    <row r="18731" spans="2:2" x14ac:dyDescent="0.25">
      <c r="B18731" s="1"/>
    </row>
    <row r="18732" spans="2:2" x14ac:dyDescent="0.25">
      <c r="B18732" s="1"/>
    </row>
    <row r="18733" spans="2:2" x14ac:dyDescent="0.25">
      <c r="B18733" s="1"/>
    </row>
    <row r="18734" spans="2:2" x14ac:dyDescent="0.25">
      <c r="B18734" s="1"/>
    </row>
    <row r="18735" spans="2:2" x14ac:dyDescent="0.25">
      <c r="B18735" s="1"/>
    </row>
    <row r="18736" spans="2:2" x14ac:dyDescent="0.25">
      <c r="B18736" s="1"/>
    </row>
    <row r="18737" spans="2:2" x14ac:dyDescent="0.25">
      <c r="B18737" s="1"/>
    </row>
    <row r="18738" spans="2:2" x14ac:dyDescent="0.25">
      <c r="B18738" s="1"/>
    </row>
    <row r="18739" spans="2:2" x14ac:dyDescent="0.25">
      <c r="B18739" s="1"/>
    </row>
    <row r="18740" spans="2:2" x14ac:dyDescent="0.25">
      <c r="B18740" s="1"/>
    </row>
    <row r="18741" spans="2:2" x14ac:dyDescent="0.25">
      <c r="B18741" s="1"/>
    </row>
    <row r="18742" spans="2:2" x14ac:dyDescent="0.25">
      <c r="B18742" s="1"/>
    </row>
    <row r="18743" spans="2:2" x14ac:dyDescent="0.25">
      <c r="B18743" s="1"/>
    </row>
    <row r="18744" spans="2:2" x14ac:dyDescent="0.25">
      <c r="B18744" s="1"/>
    </row>
    <row r="18745" spans="2:2" x14ac:dyDescent="0.25">
      <c r="B18745" s="1"/>
    </row>
    <row r="18746" spans="2:2" x14ac:dyDescent="0.25">
      <c r="B18746" s="1"/>
    </row>
    <row r="18747" spans="2:2" x14ac:dyDescent="0.25">
      <c r="B18747" s="1"/>
    </row>
    <row r="18748" spans="2:2" x14ac:dyDescent="0.25">
      <c r="B18748" s="1"/>
    </row>
    <row r="18749" spans="2:2" x14ac:dyDescent="0.25">
      <c r="B18749" s="1"/>
    </row>
    <row r="18750" spans="2:2" x14ac:dyDescent="0.25">
      <c r="B18750" s="1"/>
    </row>
    <row r="18751" spans="2:2" x14ac:dyDescent="0.25">
      <c r="B18751" s="1"/>
    </row>
    <row r="18752" spans="2:2" x14ac:dyDescent="0.25">
      <c r="B18752" s="1"/>
    </row>
    <row r="18753" spans="2:2" x14ac:dyDescent="0.25">
      <c r="B18753" s="1"/>
    </row>
    <row r="18754" spans="2:2" x14ac:dyDescent="0.25">
      <c r="B18754" s="1"/>
    </row>
    <row r="18755" spans="2:2" x14ac:dyDescent="0.25">
      <c r="B18755" s="1"/>
    </row>
    <row r="18756" spans="2:2" x14ac:dyDescent="0.25">
      <c r="B18756" s="1"/>
    </row>
    <row r="18757" spans="2:2" x14ac:dyDescent="0.25">
      <c r="B18757" s="1"/>
    </row>
    <row r="18758" spans="2:2" x14ac:dyDescent="0.25">
      <c r="B18758" s="1"/>
    </row>
    <row r="18759" spans="2:2" x14ac:dyDescent="0.25">
      <c r="B18759" s="1"/>
    </row>
    <row r="18760" spans="2:2" x14ac:dyDescent="0.25">
      <c r="B18760" s="1"/>
    </row>
    <row r="18761" spans="2:2" x14ac:dyDescent="0.25">
      <c r="B18761" s="1"/>
    </row>
    <row r="18762" spans="2:2" x14ac:dyDescent="0.25">
      <c r="B18762" s="1"/>
    </row>
    <row r="18763" spans="2:2" x14ac:dyDescent="0.25">
      <c r="B18763" s="1"/>
    </row>
    <row r="18764" spans="2:2" x14ac:dyDescent="0.25">
      <c r="B18764" s="1"/>
    </row>
    <row r="18765" spans="2:2" x14ac:dyDescent="0.25">
      <c r="B18765" s="1"/>
    </row>
    <row r="18766" spans="2:2" x14ac:dyDescent="0.25">
      <c r="B18766" s="1"/>
    </row>
    <row r="18767" spans="2:2" x14ac:dyDescent="0.25">
      <c r="B18767" s="1"/>
    </row>
    <row r="18768" spans="2:2" x14ac:dyDescent="0.25">
      <c r="B18768" s="1"/>
    </row>
    <row r="18769" spans="2:2" x14ac:dyDescent="0.25">
      <c r="B18769" s="1"/>
    </row>
    <row r="18770" spans="2:2" x14ac:dyDescent="0.25">
      <c r="B18770" s="1"/>
    </row>
    <row r="18771" spans="2:2" x14ac:dyDescent="0.25">
      <c r="B18771" s="1"/>
    </row>
    <row r="18772" spans="2:2" x14ac:dyDescent="0.25">
      <c r="B18772" s="1"/>
    </row>
    <row r="18773" spans="2:2" x14ac:dyDescent="0.25">
      <c r="B18773" s="1"/>
    </row>
    <row r="18774" spans="2:2" x14ac:dyDescent="0.25">
      <c r="B18774" s="1"/>
    </row>
    <row r="18775" spans="2:2" x14ac:dyDescent="0.25">
      <c r="B18775" s="1"/>
    </row>
    <row r="18776" spans="2:2" x14ac:dyDescent="0.25">
      <c r="B18776" s="1"/>
    </row>
    <row r="18777" spans="2:2" x14ac:dyDescent="0.25">
      <c r="B18777" s="1"/>
    </row>
    <row r="18778" spans="2:2" x14ac:dyDescent="0.25">
      <c r="B18778" s="1"/>
    </row>
    <row r="18779" spans="2:2" x14ac:dyDescent="0.25">
      <c r="B18779" s="1"/>
    </row>
    <row r="18780" spans="2:2" x14ac:dyDescent="0.25">
      <c r="B18780" s="1"/>
    </row>
    <row r="18781" spans="2:2" x14ac:dyDescent="0.25">
      <c r="B18781" s="1"/>
    </row>
    <row r="18782" spans="2:2" x14ac:dyDescent="0.25">
      <c r="B18782" s="1"/>
    </row>
    <row r="18783" spans="2:2" x14ac:dyDescent="0.25">
      <c r="B18783" s="1"/>
    </row>
    <row r="18784" spans="2:2" x14ac:dyDescent="0.25">
      <c r="B18784" s="1"/>
    </row>
    <row r="18785" spans="2:2" x14ac:dyDescent="0.25">
      <c r="B18785" s="1"/>
    </row>
    <row r="18786" spans="2:2" x14ac:dyDescent="0.25">
      <c r="B18786" s="1"/>
    </row>
    <row r="18787" spans="2:2" x14ac:dyDescent="0.25">
      <c r="B18787" s="1"/>
    </row>
    <row r="18788" spans="2:2" x14ac:dyDescent="0.25">
      <c r="B18788" s="1"/>
    </row>
    <row r="18789" spans="2:2" x14ac:dyDescent="0.25">
      <c r="B18789" s="1"/>
    </row>
    <row r="18790" spans="2:2" x14ac:dyDescent="0.25">
      <c r="B18790" s="1"/>
    </row>
    <row r="18791" spans="2:2" x14ac:dyDescent="0.25">
      <c r="B18791" s="1"/>
    </row>
    <row r="18792" spans="2:2" x14ac:dyDescent="0.25">
      <c r="B18792" s="1"/>
    </row>
    <row r="18793" spans="2:2" x14ac:dyDescent="0.25">
      <c r="B18793" s="1"/>
    </row>
    <row r="18794" spans="2:2" x14ac:dyDescent="0.25">
      <c r="B18794" s="1"/>
    </row>
    <row r="18795" spans="2:2" x14ac:dyDescent="0.25">
      <c r="B18795" s="1"/>
    </row>
    <row r="18796" spans="2:2" x14ac:dyDescent="0.25">
      <c r="B18796" s="1"/>
    </row>
    <row r="18797" spans="2:2" x14ac:dyDescent="0.25">
      <c r="B18797" s="1"/>
    </row>
    <row r="18798" spans="2:2" x14ac:dyDescent="0.25">
      <c r="B18798" s="1"/>
    </row>
    <row r="18799" spans="2:2" x14ac:dyDescent="0.25">
      <c r="B18799" s="1"/>
    </row>
    <row r="18800" spans="2:2" x14ac:dyDescent="0.25">
      <c r="B18800" s="1"/>
    </row>
    <row r="18801" spans="2:2" x14ac:dyDescent="0.25">
      <c r="B18801" s="1"/>
    </row>
    <row r="18802" spans="2:2" x14ac:dyDescent="0.25">
      <c r="B18802" s="1"/>
    </row>
    <row r="18803" spans="2:2" x14ac:dyDescent="0.25">
      <c r="B18803" s="1"/>
    </row>
    <row r="18804" spans="2:2" x14ac:dyDescent="0.25">
      <c r="B18804" s="1"/>
    </row>
    <row r="18805" spans="2:2" x14ac:dyDescent="0.25">
      <c r="B18805" s="1"/>
    </row>
    <row r="18806" spans="2:2" x14ac:dyDescent="0.25">
      <c r="B18806" s="1"/>
    </row>
    <row r="18807" spans="2:2" x14ac:dyDescent="0.25">
      <c r="B18807" s="1"/>
    </row>
    <row r="18808" spans="2:2" x14ac:dyDescent="0.25">
      <c r="B18808" s="1"/>
    </row>
    <row r="18809" spans="2:2" x14ac:dyDescent="0.25">
      <c r="B18809" s="1"/>
    </row>
    <row r="18810" spans="2:2" x14ac:dyDescent="0.25">
      <c r="B18810" s="1"/>
    </row>
    <row r="18811" spans="2:2" x14ac:dyDescent="0.25">
      <c r="B18811" s="1"/>
    </row>
    <row r="18812" spans="2:2" x14ac:dyDescent="0.25">
      <c r="B18812" s="1"/>
    </row>
    <row r="18813" spans="2:2" x14ac:dyDescent="0.25">
      <c r="B18813" s="1"/>
    </row>
    <row r="18814" spans="2:2" x14ac:dyDescent="0.25">
      <c r="B18814" s="1"/>
    </row>
    <row r="18815" spans="2:2" x14ac:dyDescent="0.25">
      <c r="B18815" s="1"/>
    </row>
    <row r="18816" spans="2:2" x14ac:dyDescent="0.25">
      <c r="B18816" s="1"/>
    </row>
    <row r="18817" spans="2:2" x14ac:dyDescent="0.25">
      <c r="B18817" s="1"/>
    </row>
    <row r="18818" spans="2:2" x14ac:dyDescent="0.25">
      <c r="B18818" s="1"/>
    </row>
    <row r="18819" spans="2:2" x14ac:dyDescent="0.25">
      <c r="B18819" s="1"/>
    </row>
    <row r="18820" spans="2:2" x14ac:dyDescent="0.25">
      <c r="B18820" s="1"/>
    </row>
    <row r="18821" spans="2:2" x14ac:dyDescent="0.25">
      <c r="B18821" s="1"/>
    </row>
    <row r="18822" spans="2:2" x14ac:dyDescent="0.25">
      <c r="B18822" s="1"/>
    </row>
    <row r="18823" spans="2:2" x14ac:dyDescent="0.25">
      <c r="B18823" s="1"/>
    </row>
    <row r="18824" spans="2:2" x14ac:dyDescent="0.25">
      <c r="B18824" s="1"/>
    </row>
    <row r="18825" spans="2:2" x14ac:dyDescent="0.25">
      <c r="B18825" s="1"/>
    </row>
    <row r="18826" spans="2:2" x14ac:dyDescent="0.25">
      <c r="B18826" s="1"/>
    </row>
    <row r="18827" spans="2:2" x14ac:dyDescent="0.25">
      <c r="B18827" s="1"/>
    </row>
    <row r="18828" spans="2:2" x14ac:dyDescent="0.25">
      <c r="B18828" s="1"/>
    </row>
    <row r="18829" spans="2:2" x14ac:dyDescent="0.25">
      <c r="B18829" s="1"/>
    </row>
    <row r="18830" spans="2:2" x14ac:dyDescent="0.25">
      <c r="B18830" s="1"/>
    </row>
    <row r="18831" spans="2:2" x14ac:dyDescent="0.25">
      <c r="B18831" s="1"/>
    </row>
    <row r="18832" spans="2:2" x14ac:dyDescent="0.25">
      <c r="B18832" s="1"/>
    </row>
    <row r="18833" spans="2:2" x14ac:dyDescent="0.25">
      <c r="B18833" s="1"/>
    </row>
    <row r="18834" spans="2:2" x14ac:dyDescent="0.25">
      <c r="B18834" s="1"/>
    </row>
    <row r="18835" spans="2:2" x14ac:dyDescent="0.25">
      <c r="B18835" s="1"/>
    </row>
    <row r="18836" spans="2:2" x14ac:dyDescent="0.25">
      <c r="B18836" s="1"/>
    </row>
    <row r="18837" spans="2:2" x14ac:dyDescent="0.25">
      <c r="B18837" s="1"/>
    </row>
    <row r="18838" spans="2:2" x14ac:dyDescent="0.25">
      <c r="B18838" s="1"/>
    </row>
    <row r="18839" spans="2:2" x14ac:dyDescent="0.25">
      <c r="B18839" s="1"/>
    </row>
    <row r="18840" spans="2:2" x14ac:dyDescent="0.25">
      <c r="B18840" s="1"/>
    </row>
    <row r="18841" spans="2:2" x14ac:dyDescent="0.25">
      <c r="B18841" s="1"/>
    </row>
    <row r="18842" spans="2:2" x14ac:dyDescent="0.25">
      <c r="B18842" s="1"/>
    </row>
    <row r="18843" spans="2:2" x14ac:dyDescent="0.25">
      <c r="B18843" s="1"/>
    </row>
    <row r="18844" spans="2:2" x14ac:dyDescent="0.25">
      <c r="B18844" s="1"/>
    </row>
    <row r="18845" spans="2:2" x14ac:dyDescent="0.25">
      <c r="B18845" s="1"/>
    </row>
    <row r="18846" spans="2:2" x14ac:dyDescent="0.25">
      <c r="B18846" s="1"/>
    </row>
    <row r="18847" spans="2:2" x14ac:dyDescent="0.25">
      <c r="B18847" s="1"/>
    </row>
    <row r="18848" spans="2:2" x14ac:dyDescent="0.25">
      <c r="B18848" s="1"/>
    </row>
    <row r="18849" spans="2:2" x14ac:dyDescent="0.25">
      <c r="B18849" s="1"/>
    </row>
    <row r="18850" spans="2:2" x14ac:dyDescent="0.25">
      <c r="B18850" s="1"/>
    </row>
    <row r="18851" spans="2:2" x14ac:dyDescent="0.25">
      <c r="B18851" s="1"/>
    </row>
    <row r="18852" spans="2:2" x14ac:dyDescent="0.25">
      <c r="B18852" s="1"/>
    </row>
    <row r="18853" spans="2:2" x14ac:dyDescent="0.25">
      <c r="B18853" s="1"/>
    </row>
    <row r="18854" spans="2:2" x14ac:dyDescent="0.25">
      <c r="B18854" s="1"/>
    </row>
    <row r="18855" spans="2:2" x14ac:dyDescent="0.25">
      <c r="B18855" s="1"/>
    </row>
    <row r="18856" spans="2:2" x14ac:dyDescent="0.25">
      <c r="B18856" s="1"/>
    </row>
    <row r="18857" spans="2:2" x14ac:dyDescent="0.25">
      <c r="B18857" s="1"/>
    </row>
    <row r="18858" spans="2:2" x14ac:dyDescent="0.25">
      <c r="B18858" s="1"/>
    </row>
    <row r="18859" spans="2:2" x14ac:dyDescent="0.25">
      <c r="B18859" s="1"/>
    </row>
    <row r="18860" spans="2:2" x14ac:dyDescent="0.25">
      <c r="B18860" s="1"/>
    </row>
    <row r="18861" spans="2:2" x14ac:dyDescent="0.25">
      <c r="B18861" s="1"/>
    </row>
    <row r="18862" spans="2:2" x14ac:dyDescent="0.25">
      <c r="B18862" s="1"/>
    </row>
    <row r="18863" spans="2:2" x14ac:dyDescent="0.25">
      <c r="B18863" s="1"/>
    </row>
    <row r="18864" spans="2:2" x14ac:dyDescent="0.25">
      <c r="B18864" s="1"/>
    </row>
    <row r="18865" spans="2:2" x14ac:dyDescent="0.25">
      <c r="B18865" s="1"/>
    </row>
    <row r="18866" spans="2:2" x14ac:dyDescent="0.25">
      <c r="B18866" s="1"/>
    </row>
    <row r="18867" spans="2:2" x14ac:dyDescent="0.25">
      <c r="B18867" s="1"/>
    </row>
    <row r="18868" spans="2:2" x14ac:dyDescent="0.25">
      <c r="B18868" s="1"/>
    </row>
    <row r="18869" spans="2:2" x14ac:dyDescent="0.25">
      <c r="B18869" s="1"/>
    </row>
    <row r="18870" spans="2:2" x14ac:dyDescent="0.25">
      <c r="B18870" s="1"/>
    </row>
    <row r="18871" spans="2:2" x14ac:dyDescent="0.25">
      <c r="B18871" s="1"/>
    </row>
    <row r="18872" spans="2:2" x14ac:dyDescent="0.25">
      <c r="B18872" s="1"/>
    </row>
    <row r="18873" spans="2:2" x14ac:dyDescent="0.25">
      <c r="B18873" s="1"/>
    </row>
    <row r="18874" spans="2:2" x14ac:dyDescent="0.25">
      <c r="B18874" s="1"/>
    </row>
    <row r="18875" spans="2:2" x14ac:dyDescent="0.25">
      <c r="B18875" s="1"/>
    </row>
    <row r="18876" spans="2:2" x14ac:dyDescent="0.25">
      <c r="B18876" s="1"/>
    </row>
    <row r="18877" spans="2:2" x14ac:dyDescent="0.25">
      <c r="B18877" s="1"/>
    </row>
    <row r="18878" spans="2:2" x14ac:dyDescent="0.25">
      <c r="B18878" s="1"/>
    </row>
    <row r="18879" spans="2:2" x14ac:dyDescent="0.25">
      <c r="B18879" s="1"/>
    </row>
    <row r="18880" spans="2:2" x14ac:dyDescent="0.25">
      <c r="B18880" s="1"/>
    </row>
    <row r="18881" spans="2:2" x14ac:dyDescent="0.25">
      <c r="B18881" s="1"/>
    </row>
    <row r="18882" spans="2:2" x14ac:dyDescent="0.25">
      <c r="B18882" s="1"/>
    </row>
    <row r="18883" spans="2:2" x14ac:dyDescent="0.25">
      <c r="B18883" s="1"/>
    </row>
    <row r="18884" spans="2:2" x14ac:dyDescent="0.25">
      <c r="B18884" s="1"/>
    </row>
    <row r="18885" spans="2:2" x14ac:dyDescent="0.25">
      <c r="B18885" s="1"/>
    </row>
    <row r="18886" spans="2:2" x14ac:dyDescent="0.25">
      <c r="B18886" s="1"/>
    </row>
    <row r="18887" spans="2:2" x14ac:dyDescent="0.25">
      <c r="B18887" s="1"/>
    </row>
    <row r="18888" spans="2:2" x14ac:dyDescent="0.25">
      <c r="B18888" s="1"/>
    </row>
    <row r="18889" spans="2:2" x14ac:dyDescent="0.25">
      <c r="B18889" s="1"/>
    </row>
    <row r="18890" spans="2:2" x14ac:dyDescent="0.25">
      <c r="B18890" s="1"/>
    </row>
    <row r="18891" spans="2:2" x14ac:dyDescent="0.25">
      <c r="B18891" s="1"/>
    </row>
    <row r="18892" spans="2:2" x14ac:dyDescent="0.25">
      <c r="B18892" s="1"/>
    </row>
    <row r="18893" spans="2:2" x14ac:dyDescent="0.25">
      <c r="B18893" s="1"/>
    </row>
    <row r="18894" spans="2:2" x14ac:dyDescent="0.25">
      <c r="B18894" s="1"/>
    </row>
    <row r="18895" spans="2:2" x14ac:dyDescent="0.25">
      <c r="B18895" s="1"/>
    </row>
    <row r="18896" spans="2:2" x14ac:dyDescent="0.25">
      <c r="B18896" s="1"/>
    </row>
    <row r="18897" spans="2:2" x14ac:dyDescent="0.25">
      <c r="B18897" s="1"/>
    </row>
    <row r="18898" spans="2:2" x14ac:dyDescent="0.25">
      <c r="B18898" s="1"/>
    </row>
    <row r="18899" spans="2:2" x14ac:dyDescent="0.25">
      <c r="B18899" s="1"/>
    </row>
    <row r="18900" spans="2:2" x14ac:dyDescent="0.25">
      <c r="B18900" s="1"/>
    </row>
    <row r="18901" spans="2:2" x14ac:dyDescent="0.25">
      <c r="B18901" s="1"/>
    </row>
    <row r="18902" spans="2:2" x14ac:dyDescent="0.25">
      <c r="B18902" s="1"/>
    </row>
    <row r="18903" spans="2:2" x14ac:dyDescent="0.25">
      <c r="B18903" s="1"/>
    </row>
    <row r="18904" spans="2:2" x14ac:dyDescent="0.25">
      <c r="B18904" s="1"/>
    </row>
    <row r="18905" spans="2:2" x14ac:dyDescent="0.25">
      <c r="B18905" s="1"/>
    </row>
    <row r="18906" spans="2:2" x14ac:dyDescent="0.25">
      <c r="B18906" s="1"/>
    </row>
    <row r="18907" spans="2:2" x14ac:dyDescent="0.25">
      <c r="B18907" s="1"/>
    </row>
    <row r="18908" spans="2:2" x14ac:dyDescent="0.25">
      <c r="B18908" s="1"/>
    </row>
    <row r="18909" spans="2:2" x14ac:dyDescent="0.25">
      <c r="B18909" s="1"/>
    </row>
    <row r="18910" spans="2:2" x14ac:dyDescent="0.25">
      <c r="B18910" s="1"/>
    </row>
    <row r="18911" spans="2:2" x14ac:dyDescent="0.25">
      <c r="B18911" s="1"/>
    </row>
    <row r="18912" spans="2:2" x14ac:dyDescent="0.25">
      <c r="B18912" s="1"/>
    </row>
    <row r="18913" spans="2:2" x14ac:dyDescent="0.25">
      <c r="B18913" s="1"/>
    </row>
    <row r="18914" spans="2:2" x14ac:dyDescent="0.25">
      <c r="B18914" s="1"/>
    </row>
    <row r="18915" spans="2:2" x14ac:dyDescent="0.25">
      <c r="B18915" s="1"/>
    </row>
    <row r="18916" spans="2:2" x14ac:dyDescent="0.25">
      <c r="B18916" s="1"/>
    </row>
    <row r="18917" spans="2:2" x14ac:dyDescent="0.25">
      <c r="B18917" s="1"/>
    </row>
    <row r="18918" spans="2:2" x14ac:dyDescent="0.25">
      <c r="B18918" s="1"/>
    </row>
    <row r="18919" spans="2:2" x14ac:dyDescent="0.25">
      <c r="B18919" s="1"/>
    </row>
    <row r="18920" spans="2:2" x14ac:dyDescent="0.25">
      <c r="B18920" s="1"/>
    </row>
    <row r="18921" spans="2:2" x14ac:dyDescent="0.25">
      <c r="B18921" s="1"/>
    </row>
    <row r="18922" spans="2:2" x14ac:dyDescent="0.25">
      <c r="B18922" s="1"/>
    </row>
    <row r="18923" spans="2:2" x14ac:dyDescent="0.25">
      <c r="B18923" s="1"/>
    </row>
    <row r="18924" spans="2:2" x14ac:dyDescent="0.25">
      <c r="B18924" s="1"/>
    </row>
    <row r="18925" spans="2:2" x14ac:dyDescent="0.25">
      <c r="B18925" s="1"/>
    </row>
    <row r="18926" spans="2:2" x14ac:dyDescent="0.25">
      <c r="B18926" s="1"/>
    </row>
    <row r="18927" spans="2:2" x14ac:dyDescent="0.25">
      <c r="B18927" s="1"/>
    </row>
    <row r="18928" spans="2:2" x14ac:dyDescent="0.25">
      <c r="B18928" s="1"/>
    </row>
    <row r="18929" spans="2:2" x14ac:dyDescent="0.25">
      <c r="B18929" s="1"/>
    </row>
    <row r="18930" spans="2:2" x14ac:dyDescent="0.25">
      <c r="B18930" s="1"/>
    </row>
    <row r="18931" spans="2:2" x14ac:dyDescent="0.25">
      <c r="B18931" s="1"/>
    </row>
    <row r="18932" spans="2:2" x14ac:dyDescent="0.25">
      <c r="B18932" s="1"/>
    </row>
    <row r="18933" spans="2:2" x14ac:dyDescent="0.25">
      <c r="B18933" s="1"/>
    </row>
    <row r="18934" spans="2:2" x14ac:dyDescent="0.25">
      <c r="B18934" s="1"/>
    </row>
    <row r="18935" spans="2:2" x14ac:dyDescent="0.25">
      <c r="B18935" s="1"/>
    </row>
    <row r="18936" spans="2:2" x14ac:dyDescent="0.25">
      <c r="B18936" s="1"/>
    </row>
    <row r="18937" spans="2:2" x14ac:dyDescent="0.25">
      <c r="B18937" s="1"/>
    </row>
    <row r="18938" spans="2:2" x14ac:dyDescent="0.25">
      <c r="B18938" s="1"/>
    </row>
    <row r="18939" spans="2:2" x14ac:dyDescent="0.25">
      <c r="B18939" s="1"/>
    </row>
    <row r="18940" spans="2:2" x14ac:dyDescent="0.25">
      <c r="B18940" s="1"/>
    </row>
    <row r="18941" spans="2:2" x14ac:dyDescent="0.25">
      <c r="B18941" s="1"/>
    </row>
    <row r="18942" spans="2:2" x14ac:dyDescent="0.25">
      <c r="B18942" s="1"/>
    </row>
    <row r="18943" spans="2:2" x14ac:dyDescent="0.25">
      <c r="B18943" s="1"/>
    </row>
    <row r="18944" spans="2:2" x14ac:dyDescent="0.25">
      <c r="B18944" s="1"/>
    </row>
    <row r="18945" spans="2:2" x14ac:dyDescent="0.25">
      <c r="B18945" s="1"/>
    </row>
    <row r="18946" spans="2:2" x14ac:dyDescent="0.25">
      <c r="B18946" s="1"/>
    </row>
    <row r="18947" spans="2:2" x14ac:dyDescent="0.25">
      <c r="B18947" s="1"/>
    </row>
    <row r="18948" spans="2:2" x14ac:dyDescent="0.25">
      <c r="B18948" s="1"/>
    </row>
    <row r="18949" spans="2:2" x14ac:dyDescent="0.25">
      <c r="B18949" s="1"/>
    </row>
    <row r="18950" spans="2:2" x14ac:dyDescent="0.25">
      <c r="B18950" s="1"/>
    </row>
    <row r="18951" spans="2:2" x14ac:dyDescent="0.25">
      <c r="B18951" s="1"/>
    </row>
    <row r="18952" spans="2:2" x14ac:dyDescent="0.25">
      <c r="B18952" s="1"/>
    </row>
    <row r="18953" spans="2:2" x14ac:dyDescent="0.25">
      <c r="B18953" s="1"/>
    </row>
    <row r="18954" spans="2:2" x14ac:dyDescent="0.25">
      <c r="B18954" s="1"/>
    </row>
    <row r="18955" spans="2:2" x14ac:dyDescent="0.25">
      <c r="B18955" s="1"/>
    </row>
    <row r="18956" spans="2:2" x14ac:dyDescent="0.25">
      <c r="B18956" s="1"/>
    </row>
    <row r="18957" spans="2:2" x14ac:dyDescent="0.25">
      <c r="B18957" s="1"/>
    </row>
    <row r="18958" spans="2:2" x14ac:dyDescent="0.25">
      <c r="B18958" s="1"/>
    </row>
    <row r="18959" spans="2:2" x14ac:dyDescent="0.25">
      <c r="B18959" s="1"/>
    </row>
    <row r="18960" spans="2:2" x14ac:dyDescent="0.25">
      <c r="B18960" s="1"/>
    </row>
    <row r="18961" spans="2:2" x14ac:dyDescent="0.25">
      <c r="B18961" s="1"/>
    </row>
    <row r="18962" spans="2:2" x14ac:dyDescent="0.25">
      <c r="B18962" s="1"/>
    </row>
    <row r="18963" spans="2:2" x14ac:dyDescent="0.25">
      <c r="B18963" s="1"/>
    </row>
    <row r="18964" spans="2:2" x14ac:dyDescent="0.25">
      <c r="B18964" s="1"/>
    </row>
    <row r="18965" spans="2:2" x14ac:dyDescent="0.25">
      <c r="B18965" s="1"/>
    </row>
    <row r="18966" spans="2:2" x14ac:dyDescent="0.25">
      <c r="B18966" s="1"/>
    </row>
    <row r="18967" spans="2:2" x14ac:dyDescent="0.25">
      <c r="B18967" s="1"/>
    </row>
    <row r="18968" spans="2:2" x14ac:dyDescent="0.25">
      <c r="B18968" s="1"/>
    </row>
    <row r="18969" spans="2:2" x14ac:dyDescent="0.25">
      <c r="B18969" s="1"/>
    </row>
    <row r="18970" spans="2:2" x14ac:dyDescent="0.25">
      <c r="B18970" s="1"/>
    </row>
    <row r="18971" spans="2:2" x14ac:dyDescent="0.25">
      <c r="B18971" s="1"/>
    </row>
    <row r="18972" spans="2:2" x14ac:dyDescent="0.25">
      <c r="B18972" s="1"/>
    </row>
    <row r="18973" spans="2:2" x14ac:dyDescent="0.25">
      <c r="B18973" s="1"/>
    </row>
    <row r="18974" spans="2:2" x14ac:dyDescent="0.25">
      <c r="B18974" s="1"/>
    </row>
    <row r="18975" spans="2:2" x14ac:dyDescent="0.25">
      <c r="B18975" s="1"/>
    </row>
    <row r="18976" spans="2:2" x14ac:dyDescent="0.25">
      <c r="B18976" s="1"/>
    </row>
    <row r="18977" spans="2:2" x14ac:dyDescent="0.25">
      <c r="B18977" s="1"/>
    </row>
    <row r="18978" spans="2:2" x14ac:dyDescent="0.25">
      <c r="B18978" s="1"/>
    </row>
    <row r="18979" spans="2:2" x14ac:dyDescent="0.25">
      <c r="B18979" s="1"/>
    </row>
    <row r="18980" spans="2:2" x14ac:dyDescent="0.25">
      <c r="B18980" s="1"/>
    </row>
    <row r="18981" spans="2:2" x14ac:dyDescent="0.25">
      <c r="B18981" s="1"/>
    </row>
    <row r="18982" spans="2:2" x14ac:dyDescent="0.25">
      <c r="B18982" s="1"/>
    </row>
    <row r="18983" spans="2:2" x14ac:dyDescent="0.25">
      <c r="B18983" s="1"/>
    </row>
    <row r="18984" spans="2:2" x14ac:dyDescent="0.25">
      <c r="B18984" s="1"/>
    </row>
    <row r="18985" spans="2:2" x14ac:dyDescent="0.25">
      <c r="B18985" s="1"/>
    </row>
    <row r="18986" spans="2:2" x14ac:dyDescent="0.25">
      <c r="B18986" s="1"/>
    </row>
    <row r="18987" spans="2:2" x14ac:dyDescent="0.25">
      <c r="B18987" s="1"/>
    </row>
    <row r="18988" spans="2:2" x14ac:dyDescent="0.25">
      <c r="B18988" s="1"/>
    </row>
    <row r="18989" spans="2:2" x14ac:dyDescent="0.25">
      <c r="B18989" s="1"/>
    </row>
    <row r="18990" spans="2:2" x14ac:dyDescent="0.25">
      <c r="B18990" s="1"/>
    </row>
    <row r="18991" spans="2:2" x14ac:dyDescent="0.25">
      <c r="B18991" s="1"/>
    </row>
    <row r="18992" spans="2:2" x14ac:dyDescent="0.25">
      <c r="B18992" s="1"/>
    </row>
    <row r="18993" spans="2:2" x14ac:dyDescent="0.25">
      <c r="B18993" s="1"/>
    </row>
    <row r="18994" spans="2:2" x14ac:dyDescent="0.25">
      <c r="B18994" s="1"/>
    </row>
    <row r="18995" spans="2:2" x14ac:dyDescent="0.25">
      <c r="B18995" s="1"/>
    </row>
    <row r="18996" spans="2:2" x14ac:dyDescent="0.25">
      <c r="B18996" s="1"/>
    </row>
    <row r="18997" spans="2:2" x14ac:dyDescent="0.25">
      <c r="B18997" s="1"/>
    </row>
    <row r="18998" spans="2:2" x14ac:dyDescent="0.25">
      <c r="B18998" s="1"/>
    </row>
    <row r="18999" spans="2:2" x14ac:dyDescent="0.25">
      <c r="B18999" s="1"/>
    </row>
    <row r="19000" spans="2:2" x14ac:dyDescent="0.25">
      <c r="B19000" s="1"/>
    </row>
    <row r="19001" spans="2:2" x14ac:dyDescent="0.25">
      <c r="B19001" s="1"/>
    </row>
    <row r="19002" spans="2:2" x14ac:dyDescent="0.25">
      <c r="B19002" s="1"/>
    </row>
    <row r="19003" spans="2:2" x14ac:dyDescent="0.25">
      <c r="B19003" s="1"/>
    </row>
    <row r="19004" spans="2:2" x14ac:dyDescent="0.25">
      <c r="B19004" s="1"/>
    </row>
    <row r="19005" spans="2:2" x14ac:dyDescent="0.25">
      <c r="B19005" s="1"/>
    </row>
    <row r="19006" spans="2:2" x14ac:dyDescent="0.25">
      <c r="B19006" s="1"/>
    </row>
    <row r="19007" spans="2:2" x14ac:dyDescent="0.25">
      <c r="B19007" s="1"/>
    </row>
    <row r="19008" spans="2:2" x14ac:dyDescent="0.25">
      <c r="B19008" s="1"/>
    </row>
    <row r="19009" spans="2:2" x14ac:dyDescent="0.25">
      <c r="B19009" s="1"/>
    </row>
    <row r="19010" spans="2:2" x14ac:dyDescent="0.25">
      <c r="B19010" s="1"/>
    </row>
    <row r="19011" spans="2:2" x14ac:dyDescent="0.25">
      <c r="B19011" s="1"/>
    </row>
    <row r="19012" spans="2:2" x14ac:dyDescent="0.25">
      <c r="B19012" s="1"/>
    </row>
    <row r="19013" spans="2:2" x14ac:dyDescent="0.25">
      <c r="B19013" s="1"/>
    </row>
    <row r="19014" spans="2:2" x14ac:dyDescent="0.25">
      <c r="B19014" s="1"/>
    </row>
    <row r="19015" spans="2:2" x14ac:dyDescent="0.25">
      <c r="B19015" s="1"/>
    </row>
    <row r="19016" spans="2:2" x14ac:dyDescent="0.25">
      <c r="B19016" s="1"/>
    </row>
    <row r="19017" spans="2:2" x14ac:dyDescent="0.25">
      <c r="B19017" s="1"/>
    </row>
    <row r="19018" spans="2:2" x14ac:dyDescent="0.25">
      <c r="B19018" s="1"/>
    </row>
    <row r="19019" spans="2:2" x14ac:dyDescent="0.25">
      <c r="B19019" s="1"/>
    </row>
    <row r="19020" spans="2:2" x14ac:dyDescent="0.25">
      <c r="B19020" s="1"/>
    </row>
    <row r="19021" spans="2:2" x14ac:dyDescent="0.25">
      <c r="B19021" s="1"/>
    </row>
    <row r="19022" spans="2:2" x14ac:dyDescent="0.25">
      <c r="B19022" s="1"/>
    </row>
    <row r="19023" spans="2:2" x14ac:dyDescent="0.25">
      <c r="B19023" s="1"/>
    </row>
    <row r="19024" spans="2:2" x14ac:dyDescent="0.25">
      <c r="B19024" s="1"/>
    </row>
    <row r="19025" spans="2:2" x14ac:dyDescent="0.25">
      <c r="B19025" s="1"/>
    </row>
    <row r="19026" spans="2:2" x14ac:dyDescent="0.25">
      <c r="B19026" s="1"/>
    </row>
    <row r="19027" spans="2:2" x14ac:dyDescent="0.25">
      <c r="B19027" s="1"/>
    </row>
    <row r="19028" spans="2:2" x14ac:dyDescent="0.25">
      <c r="B19028" s="1"/>
    </row>
    <row r="19029" spans="2:2" x14ac:dyDescent="0.25">
      <c r="B19029" s="1"/>
    </row>
    <row r="19030" spans="2:2" x14ac:dyDescent="0.25">
      <c r="B19030" s="1"/>
    </row>
    <row r="19031" spans="2:2" x14ac:dyDescent="0.25">
      <c r="B19031" s="1"/>
    </row>
    <row r="19032" spans="2:2" x14ac:dyDescent="0.25">
      <c r="B19032" s="1"/>
    </row>
    <row r="19033" spans="2:2" x14ac:dyDescent="0.25">
      <c r="B19033" s="1"/>
    </row>
    <row r="19034" spans="2:2" x14ac:dyDescent="0.25">
      <c r="B19034" s="1"/>
    </row>
    <row r="19035" spans="2:2" x14ac:dyDescent="0.25">
      <c r="B19035" s="1"/>
    </row>
    <row r="19036" spans="2:2" x14ac:dyDescent="0.25">
      <c r="B19036" s="1"/>
    </row>
    <row r="19037" spans="2:2" x14ac:dyDescent="0.25">
      <c r="B19037" s="1"/>
    </row>
    <row r="19038" spans="2:2" x14ac:dyDescent="0.25">
      <c r="B19038" s="1"/>
    </row>
    <row r="19039" spans="2:2" x14ac:dyDescent="0.25">
      <c r="B19039" s="1"/>
    </row>
    <row r="19040" spans="2:2" x14ac:dyDescent="0.25">
      <c r="B19040" s="1"/>
    </row>
    <row r="19041" spans="2:2" x14ac:dyDescent="0.25">
      <c r="B19041" s="1"/>
    </row>
    <row r="19042" spans="2:2" x14ac:dyDescent="0.25">
      <c r="B19042" s="1"/>
    </row>
    <row r="19043" spans="2:2" x14ac:dyDescent="0.25">
      <c r="B19043" s="1"/>
    </row>
    <row r="19044" spans="2:2" x14ac:dyDescent="0.25">
      <c r="B19044" s="1"/>
    </row>
    <row r="19045" spans="2:2" x14ac:dyDescent="0.25">
      <c r="B19045" s="1"/>
    </row>
    <row r="19046" spans="2:2" x14ac:dyDescent="0.25">
      <c r="B19046" s="1"/>
    </row>
    <row r="19047" spans="2:2" x14ac:dyDescent="0.25">
      <c r="B19047" s="1"/>
    </row>
    <row r="19048" spans="2:2" x14ac:dyDescent="0.25">
      <c r="B19048" s="1"/>
    </row>
    <row r="19049" spans="2:2" x14ac:dyDescent="0.25">
      <c r="B19049" s="1"/>
    </row>
    <row r="19050" spans="2:2" x14ac:dyDescent="0.25">
      <c r="B19050" s="1"/>
    </row>
    <row r="19051" spans="2:2" x14ac:dyDescent="0.25">
      <c r="B19051" s="1"/>
    </row>
    <row r="19052" spans="2:2" x14ac:dyDescent="0.25">
      <c r="B19052" s="1"/>
    </row>
    <row r="19053" spans="2:2" x14ac:dyDescent="0.25">
      <c r="B19053" s="1"/>
    </row>
    <row r="19054" spans="2:2" x14ac:dyDescent="0.25">
      <c r="B19054" s="1"/>
    </row>
    <row r="19055" spans="2:2" x14ac:dyDescent="0.25">
      <c r="B19055" s="1"/>
    </row>
    <row r="19056" spans="2:2" x14ac:dyDescent="0.25">
      <c r="B19056" s="1"/>
    </row>
    <row r="19057" spans="2:2" x14ac:dyDescent="0.25">
      <c r="B19057" s="1"/>
    </row>
    <row r="19058" spans="2:2" x14ac:dyDescent="0.25">
      <c r="B19058" s="1"/>
    </row>
    <row r="19059" spans="2:2" x14ac:dyDescent="0.25">
      <c r="B19059" s="1"/>
    </row>
    <row r="19060" spans="2:2" x14ac:dyDescent="0.25">
      <c r="B19060" s="1"/>
    </row>
    <row r="19061" spans="2:2" x14ac:dyDescent="0.25">
      <c r="B19061" s="1"/>
    </row>
    <row r="19062" spans="2:2" x14ac:dyDescent="0.25">
      <c r="B19062" s="1"/>
    </row>
    <row r="19063" spans="2:2" x14ac:dyDescent="0.25">
      <c r="B19063" s="1"/>
    </row>
    <row r="19064" spans="2:2" x14ac:dyDescent="0.25">
      <c r="B19064" s="1"/>
    </row>
    <row r="19065" spans="2:2" x14ac:dyDescent="0.25">
      <c r="B19065" s="1"/>
    </row>
    <row r="19066" spans="2:2" x14ac:dyDescent="0.25">
      <c r="B19066" s="1"/>
    </row>
    <row r="19067" spans="2:2" x14ac:dyDescent="0.25">
      <c r="B19067" s="1"/>
    </row>
    <row r="19068" spans="2:2" x14ac:dyDescent="0.25">
      <c r="B19068" s="1"/>
    </row>
    <row r="19069" spans="2:2" x14ac:dyDescent="0.25">
      <c r="B19069" s="1"/>
    </row>
    <row r="19070" spans="2:2" x14ac:dyDescent="0.25">
      <c r="B19070" s="1"/>
    </row>
    <row r="19071" spans="2:2" x14ac:dyDescent="0.25">
      <c r="B19071" s="1"/>
    </row>
    <row r="19072" spans="2:2" x14ac:dyDescent="0.25">
      <c r="B19072" s="1"/>
    </row>
    <row r="19073" spans="2:2" x14ac:dyDescent="0.25">
      <c r="B19073" s="1"/>
    </row>
    <row r="19074" spans="2:2" x14ac:dyDescent="0.25">
      <c r="B19074" s="1"/>
    </row>
    <row r="19075" spans="2:2" x14ac:dyDescent="0.25">
      <c r="B19075" s="1"/>
    </row>
    <row r="19076" spans="2:2" x14ac:dyDescent="0.25">
      <c r="B19076" s="1"/>
    </row>
    <row r="19077" spans="2:2" x14ac:dyDescent="0.25">
      <c r="B19077" s="1"/>
    </row>
    <row r="19078" spans="2:2" x14ac:dyDescent="0.25">
      <c r="B19078" s="1"/>
    </row>
    <row r="19079" spans="2:2" x14ac:dyDescent="0.25">
      <c r="B19079" s="1"/>
    </row>
    <row r="19080" spans="2:2" x14ac:dyDescent="0.25">
      <c r="B19080" s="1"/>
    </row>
    <row r="19081" spans="2:2" x14ac:dyDescent="0.25">
      <c r="B19081" s="1"/>
    </row>
    <row r="19082" spans="2:2" x14ac:dyDescent="0.25">
      <c r="B19082" s="1"/>
    </row>
    <row r="19083" spans="2:2" x14ac:dyDescent="0.25">
      <c r="B19083" s="1"/>
    </row>
    <row r="19084" spans="2:2" x14ac:dyDescent="0.25">
      <c r="B19084" s="1"/>
    </row>
    <row r="19085" spans="2:2" x14ac:dyDescent="0.25">
      <c r="B19085" s="1"/>
    </row>
    <row r="19086" spans="2:2" x14ac:dyDescent="0.25">
      <c r="B19086" s="1"/>
    </row>
    <row r="19087" spans="2:2" x14ac:dyDescent="0.25">
      <c r="B19087" s="1"/>
    </row>
    <row r="19088" spans="2:2" x14ac:dyDescent="0.25">
      <c r="B19088" s="1"/>
    </row>
    <row r="19089" spans="2:2" x14ac:dyDescent="0.25">
      <c r="B19089" s="1"/>
    </row>
    <row r="19090" spans="2:2" x14ac:dyDescent="0.25">
      <c r="B19090" s="1"/>
    </row>
    <row r="19091" spans="2:2" x14ac:dyDescent="0.25">
      <c r="B19091" s="1"/>
    </row>
    <row r="19092" spans="2:2" x14ac:dyDescent="0.25">
      <c r="B19092" s="1"/>
    </row>
    <row r="19093" spans="2:2" x14ac:dyDescent="0.25">
      <c r="B19093" s="1"/>
    </row>
    <row r="19094" spans="2:2" x14ac:dyDescent="0.25">
      <c r="B19094" s="1"/>
    </row>
    <row r="19095" spans="2:2" x14ac:dyDescent="0.25">
      <c r="B19095" s="1"/>
    </row>
    <row r="19096" spans="2:2" x14ac:dyDescent="0.25">
      <c r="B19096" s="1"/>
    </row>
    <row r="19097" spans="2:2" x14ac:dyDescent="0.25">
      <c r="B19097" s="1"/>
    </row>
    <row r="19098" spans="2:2" x14ac:dyDescent="0.25">
      <c r="B19098" s="1"/>
    </row>
    <row r="19099" spans="2:2" x14ac:dyDescent="0.25">
      <c r="B19099" s="1"/>
    </row>
    <row r="19100" spans="2:2" x14ac:dyDescent="0.25">
      <c r="B19100" s="1"/>
    </row>
    <row r="19101" spans="2:2" x14ac:dyDescent="0.25">
      <c r="B19101" s="1"/>
    </row>
    <row r="19102" spans="2:2" x14ac:dyDescent="0.25">
      <c r="B19102" s="1"/>
    </row>
    <row r="19103" spans="2:2" x14ac:dyDescent="0.25">
      <c r="B19103" s="1"/>
    </row>
    <row r="19104" spans="2:2" x14ac:dyDescent="0.25">
      <c r="B19104" s="1"/>
    </row>
    <row r="19105" spans="2:2" x14ac:dyDescent="0.25">
      <c r="B19105" s="1"/>
    </row>
    <row r="19106" spans="2:2" x14ac:dyDescent="0.25">
      <c r="B19106" s="1"/>
    </row>
    <row r="19107" spans="2:2" x14ac:dyDescent="0.25">
      <c r="B19107" s="1"/>
    </row>
    <row r="19108" spans="2:2" x14ac:dyDescent="0.25">
      <c r="B19108" s="1"/>
    </row>
    <row r="19109" spans="2:2" x14ac:dyDescent="0.25">
      <c r="B19109" s="1"/>
    </row>
    <row r="19110" spans="2:2" x14ac:dyDescent="0.25">
      <c r="B19110" s="1"/>
    </row>
    <row r="19111" spans="2:2" x14ac:dyDescent="0.25">
      <c r="B19111" s="1"/>
    </row>
    <row r="19112" spans="2:2" x14ac:dyDescent="0.25">
      <c r="B19112" s="1"/>
    </row>
    <row r="19113" spans="2:2" x14ac:dyDescent="0.25">
      <c r="B19113" s="1"/>
    </row>
    <row r="19114" spans="2:2" x14ac:dyDescent="0.25">
      <c r="B19114" s="1"/>
    </row>
    <row r="19115" spans="2:2" x14ac:dyDescent="0.25">
      <c r="B19115" s="1"/>
    </row>
    <row r="19116" spans="2:2" x14ac:dyDescent="0.25">
      <c r="B19116" s="1"/>
    </row>
    <row r="19117" spans="2:2" x14ac:dyDescent="0.25">
      <c r="B19117" s="1"/>
    </row>
    <row r="19118" spans="2:2" x14ac:dyDescent="0.25">
      <c r="B19118" s="1"/>
    </row>
    <row r="19119" spans="2:2" x14ac:dyDescent="0.25">
      <c r="B19119" s="1"/>
    </row>
    <row r="19120" spans="2:2" x14ac:dyDescent="0.25">
      <c r="B19120" s="1"/>
    </row>
    <row r="19121" spans="2:2" x14ac:dyDescent="0.25">
      <c r="B19121" s="1"/>
    </row>
    <row r="19122" spans="2:2" x14ac:dyDescent="0.25">
      <c r="B19122" s="1"/>
    </row>
    <row r="19123" spans="2:2" x14ac:dyDescent="0.25">
      <c r="B19123" s="1"/>
    </row>
    <row r="19124" spans="2:2" x14ac:dyDescent="0.25">
      <c r="B19124" s="1"/>
    </row>
    <row r="19125" spans="2:2" x14ac:dyDescent="0.25">
      <c r="B19125" s="1"/>
    </row>
    <row r="19126" spans="2:2" x14ac:dyDescent="0.25">
      <c r="B19126" s="1"/>
    </row>
    <row r="19127" spans="2:2" x14ac:dyDescent="0.25">
      <c r="B19127" s="1"/>
    </row>
    <row r="19128" spans="2:2" x14ac:dyDescent="0.25">
      <c r="B19128" s="1"/>
    </row>
    <row r="19129" spans="2:2" x14ac:dyDescent="0.25">
      <c r="B19129" s="1"/>
    </row>
    <row r="19130" spans="2:2" x14ac:dyDescent="0.25">
      <c r="B19130" s="1"/>
    </row>
    <row r="19131" spans="2:2" x14ac:dyDescent="0.25">
      <c r="B19131" s="1"/>
    </row>
    <row r="19132" spans="2:2" x14ac:dyDescent="0.25">
      <c r="B19132" s="1"/>
    </row>
    <row r="19133" spans="2:2" x14ac:dyDescent="0.25">
      <c r="B19133" s="1"/>
    </row>
    <row r="19134" spans="2:2" x14ac:dyDescent="0.25">
      <c r="B19134" s="1"/>
    </row>
    <row r="19135" spans="2:2" x14ac:dyDescent="0.25">
      <c r="B19135" s="1"/>
    </row>
    <row r="19136" spans="2:2" x14ac:dyDescent="0.25">
      <c r="B19136" s="1"/>
    </row>
    <row r="19137" spans="2:2" x14ac:dyDescent="0.25">
      <c r="B19137" s="1"/>
    </row>
    <row r="19138" spans="2:2" x14ac:dyDescent="0.25">
      <c r="B19138" s="1"/>
    </row>
    <row r="19139" spans="2:2" x14ac:dyDescent="0.25">
      <c r="B19139" s="1"/>
    </row>
    <row r="19140" spans="2:2" x14ac:dyDescent="0.25">
      <c r="B19140" s="1"/>
    </row>
    <row r="19141" spans="2:2" x14ac:dyDescent="0.25">
      <c r="B19141" s="1"/>
    </row>
    <row r="19142" spans="2:2" x14ac:dyDescent="0.25">
      <c r="B19142" s="1"/>
    </row>
    <row r="19143" spans="2:2" x14ac:dyDescent="0.25">
      <c r="B19143" s="1"/>
    </row>
    <row r="19144" spans="2:2" x14ac:dyDescent="0.25">
      <c r="B19144" s="1"/>
    </row>
    <row r="19145" spans="2:2" x14ac:dyDescent="0.25">
      <c r="B19145" s="1"/>
    </row>
    <row r="19146" spans="2:2" x14ac:dyDescent="0.25">
      <c r="B19146" s="1"/>
    </row>
    <row r="19147" spans="2:2" x14ac:dyDescent="0.25">
      <c r="B19147" s="1"/>
    </row>
    <row r="19148" spans="2:2" x14ac:dyDescent="0.25">
      <c r="B19148" s="1"/>
    </row>
    <row r="19149" spans="2:2" x14ac:dyDescent="0.25">
      <c r="B19149" s="1"/>
    </row>
    <row r="19150" spans="2:2" x14ac:dyDescent="0.25">
      <c r="B19150" s="1"/>
    </row>
    <row r="19151" spans="2:2" x14ac:dyDescent="0.25">
      <c r="B19151" s="1"/>
    </row>
    <row r="19152" spans="2:2" x14ac:dyDescent="0.25">
      <c r="B19152" s="1"/>
    </row>
    <row r="19153" spans="2:2" x14ac:dyDescent="0.25">
      <c r="B19153" s="1"/>
    </row>
    <row r="19154" spans="2:2" x14ac:dyDescent="0.25">
      <c r="B19154" s="1"/>
    </row>
    <row r="19155" spans="2:2" x14ac:dyDescent="0.25">
      <c r="B19155" s="1"/>
    </row>
    <row r="19156" spans="2:2" x14ac:dyDescent="0.25">
      <c r="B19156" s="1"/>
    </row>
    <row r="19157" spans="2:2" x14ac:dyDescent="0.25">
      <c r="B19157" s="1"/>
    </row>
    <row r="19158" spans="2:2" x14ac:dyDescent="0.25">
      <c r="B19158" s="1"/>
    </row>
    <row r="19159" spans="2:2" x14ac:dyDescent="0.25">
      <c r="B19159" s="1"/>
    </row>
    <row r="19160" spans="2:2" x14ac:dyDescent="0.25">
      <c r="B19160" s="1"/>
    </row>
    <row r="19161" spans="2:2" x14ac:dyDescent="0.25">
      <c r="B19161" s="1"/>
    </row>
    <row r="19162" spans="2:2" x14ac:dyDescent="0.25">
      <c r="B19162" s="1"/>
    </row>
    <row r="19163" spans="2:2" x14ac:dyDescent="0.25">
      <c r="B19163" s="1"/>
    </row>
    <row r="19164" spans="2:2" x14ac:dyDescent="0.25">
      <c r="B19164" s="1"/>
    </row>
    <row r="19165" spans="2:2" x14ac:dyDescent="0.25">
      <c r="B19165" s="1"/>
    </row>
    <row r="19166" spans="2:2" x14ac:dyDescent="0.25">
      <c r="B19166" s="1"/>
    </row>
    <row r="19167" spans="2:2" x14ac:dyDescent="0.25">
      <c r="B19167" s="1"/>
    </row>
    <row r="19168" spans="2:2" x14ac:dyDescent="0.25">
      <c r="B19168" s="1"/>
    </row>
    <row r="19169" spans="2:2" x14ac:dyDescent="0.25">
      <c r="B19169" s="1"/>
    </row>
    <row r="19170" spans="2:2" x14ac:dyDescent="0.25">
      <c r="B19170" s="1"/>
    </row>
    <row r="19171" spans="2:2" x14ac:dyDescent="0.25">
      <c r="B19171" s="1"/>
    </row>
    <row r="19172" spans="2:2" x14ac:dyDescent="0.25">
      <c r="B19172" s="1"/>
    </row>
    <row r="19173" spans="2:2" x14ac:dyDescent="0.25">
      <c r="B19173" s="1"/>
    </row>
    <row r="19174" spans="2:2" x14ac:dyDescent="0.25">
      <c r="B19174" s="1"/>
    </row>
    <row r="19175" spans="2:2" x14ac:dyDescent="0.25">
      <c r="B19175" s="1"/>
    </row>
    <row r="19176" spans="2:2" x14ac:dyDescent="0.25">
      <c r="B19176" s="1"/>
    </row>
    <row r="19177" spans="2:2" x14ac:dyDescent="0.25">
      <c r="B19177" s="1"/>
    </row>
    <row r="19178" spans="2:2" x14ac:dyDescent="0.25">
      <c r="B19178" s="1"/>
    </row>
    <row r="19179" spans="2:2" x14ac:dyDescent="0.25">
      <c r="B19179" s="1"/>
    </row>
    <row r="19180" spans="2:2" x14ac:dyDescent="0.25">
      <c r="B19180" s="1"/>
    </row>
    <row r="19181" spans="2:2" x14ac:dyDescent="0.25">
      <c r="B19181" s="1"/>
    </row>
    <row r="19182" spans="2:2" x14ac:dyDescent="0.25">
      <c r="B19182" s="1"/>
    </row>
    <row r="19183" spans="2:2" x14ac:dyDescent="0.25">
      <c r="B19183" s="1"/>
    </row>
    <row r="19184" spans="2:2" x14ac:dyDescent="0.25">
      <c r="B19184" s="1"/>
    </row>
    <row r="19185" spans="2:2" x14ac:dyDescent="0.25">
      <c r="B19185" s="1"/>
    </row>
    <row r="19186" spans="2:2" x14ac:dyDescent="0.25">
      <c r="B19186" s="1"/>
    </row>
    <row r="19187" spans="2:2" x14ac:dyDescent="0.25">
      <c r="B19187" s="1"/>
    </row>
    <row r="19188" spans="2:2" x14ac:dyDescent="0.25">
      <c r="B19188" s="1"/>
    </row>
    <row r="19189" spans="2:2" x14ac:dyDescent="0.25">
      <c r="B19189" s="1"/>
    </row>
    <row r="19190" spans="2:2" x14ac:dyDescent="0.25">
      <c r="B19190" s="1"/>
    </row>
    <row r="19191" spans="2:2" x14ac:dyDescent="0.25">
      <c r="B19191" s="1"/>
    </row>
    <row r="19192" spans="2:2" x14ac:dyDescent="0.25">
      <c r="B19192" s="1"/>
    </row>
    <row r="19193" spans="2:2" x14ac:dyDescent="0.25">
      <c r="B19193" s="1"/>
    </row>
    <row r="19194" spans="2:2" x14ac:dyDescent="0.25">
      <c r="B19194" s="1"/>
    </row>
    <row r="19195" spans="2:2" x14ac:dyDescent="0.25">
      <c r="B19195" s="1"/>
    </row>
    <row r="19196" spans="2:2" x14ac:dyDescent="0.25">
      <c r="B19196" s="1"/>
    </row>
    <row r="19197" spans="2:2" x14ac:dyDescent="0.25">
      <c r="B19197" s="1"/>
    </row>
    <row r="19198" spans="2:2" x14ac:dyDescent="0.25">
      <c r="B19198" s="1"/>
    </row>
    <row r="19199" spans="2:2" x14ac:dyDescent="0.25">
      <c r="B19199" s="1"/>
    </row>
    <row r="19200" spans="2:2" x14ac:dyDescent="0.25">
      <c r="B19200" s="1"/>
    </row>
    <row r="19201" spans="2:2" x14ac:dyDescent="0.25">
      <c r="B19201" s="1"/>
    </row>
    <row r="19202" spans="2:2" x14ac:dyDescent="0.25">
      <c r="B19202" s="1"/>
    </row>
    <row r="19203" spans="2:2" x14ac:dyDescent="0.25">
      <c r="B19203" s="1"/>
    </row>
    <row r="19204" spans="2:2" x14ac:dyDescent="0.25">
      <c r="B19204" s="1"/>
    </row>
    <row r="19205" spans="2:2" x14ac:dyDescent="0.25">
      <c r="B19205" s="1"/>
    </row>
    <row r="19206" spans="2:2" x14ac:dyDescent="0.25">
      <c r="B19206" s="1"/>
    </row>
    <row r="19207" spans="2:2" x14ac:dyDescent="0.25">
      <c r="B19207" s="1"/>
    </row>
    <row r="19208" spans="2:2" x14ac:dyDescent="0.25">
      <c r="B19208" s="1"/>
    </row>
    <row r="19209" spans="2:2" x14ac:dyDescent="0.25">
      <c r="B19209" s="1"/>
    </row>
    <row r="19210" spans="2:2" x14ac:dyDescent="0.25">
      <c r="B19210" s="1"/>
    </row>
    <row r="19211" spans="2:2" x14ac:dyDescent="0.25">
      <c r="B19211" s="1"/>
    </row>
    <row r="19212" spans="2:2" x14ac:dyDescent="0.25">
      <c r="B19212" s="1"/>
    </row>
    <row r="19213" spans="2:2" x14ac:dyDescent="0.25">
      <c r="B19213" s="1"/>
    </row>
    <row r="19214" spans="2:2" x14ac:dyDescent="0.25">
      <c r="B19214" s="1"/>
    </row>
    <row r="19215" spans="2:2" x14ac:dyDescent="0.25">
      <c r="B19215" s="1"/>
    </row>
    <row r="19216" spans="2:2" x14ac:dyDescent="0.25">
      <c r="B19216" s="1"/>
    </row>
    <row r="19217" spans="2:2" x14ac:dyDescent="0.25">
      <c r="B19217" s="1"/>
    </row>
    <row r="19218" spans="2:2" x14ac:dyDescent="0.25">
      <c r="B19218" s="1"/>
    </row>
    <row r="19219" spans="2:2" x14ac:dyDescent="0.25">
      <c r="B19219" s="1"/>
    </row>
    <row r="19220" spans="2:2" x14ac:dyDescent="0.25">
      <c r="B19220" s="1"/>
    </row>
    <row r="19221" spans="2:2" x14ac:dyDescent="0.25">
      <c r="B19221" s="1"/>
    </row>
    <row r="19222" spans="2:2" x14ac:dyDescent="0.25">
      <c r="B19222" s="1"/>
    </row>
    <row r="19223" spans="2:2" x14ac:dyDescent="0.25">
      <c r="B19223" s="1"/>
    </row>
    <row r="19224" spans="2:2" x14ac:dyDescent="0.25">
      <c r="B19224" s="1"/>
    </row>
    <row r="19225" spans="2:2" x14ac:dyDescent="0.25">
      <c r="B19225" s="1"/>
    </row>
    <row r="19226" spans="2:2" x14ac:dyDescent="0.25">
      <c r="B19226" s="1"/>
    </row>
    <row r="19227" spans="2:2" x14ac:dyDescent="0.25">
      <c r="B19227" s="1"/>
    </row>
    <row r="19228" spans="2:2" x14ac:dyDescent="0.25">
      <c r="B19228" s="1"/>
    </row>
    <row r="19229" spans="2:2" x14ac:dyDescent="0.25">
      <c r="B19229" s="1"/>
    </row>
    <row r="19230" spans="2:2" x14ac:dyDescent="0.25">
      <c r="B19230" s="1"/>
    </row>
    <row r="19231" spans="2:2" x14ac:dyDescent="0.25">
      <c r="B19231" s="1"/>
    </row>
    <row r="19232" spans="2:2" x14ac:dyDescent="0.25">
      <c r="B19232" s="1"/>
    </row>
    <row r="19233" spans="2:2" x14ac:dyDescent="0.25">
      <c r="B19233" s="1"/>
    </row>
    <row r="19234" spans="2:2" x14ac:dyDescent="0.25">
      <c r="B19234" s="1"/>
    </row>
    <row r="19235" spans="2:2" x14ac:dyDescent="0.25">
      <c r="B19235" s="1"/>
    </row>
    <row r="19236" spans="2:2" x14ac:dyDescent="0.25">
      <c r="B19236" s="1"/>
    </row>
    <row r="19237" spans="2:2" x14ac:dyDescent="0.25">
      <c r="B19237" s="1"/>
    </row>
    <row r="19238" spans="2:2" x14ac:dyDescent="0.25">
      <c r="B19238" s="1"/>
    </row>
    <row r="19239" spans="2:2" x14ac:dyDescent="0.25">
      <c r="B19239" s="1"/>
    </row>
    <row r="19240" spans="2:2" x14ac:dyDescent="0.25">
      <c r="B19240" s="1"/>
    </row>
    <row r="19241" spans="2:2" x14ac:dyDescent="0.25">
      <c r="B19241" s="1"/>
    </row>
    <row r="19242" spans="2:2" x14ac:dyDescent="0.25">
      <c r="B19242" s="1"/>
    </row>
    <row r="19243" spans="2:2" x14ac:dyDescent="0.25">
      <c r="B19243" s="1"/>
    </row>
    <row r="19244" spans="2:2" x14ac:dyDescent="0.25">
      <c r="B19244" s="1"/>
    </row>
    <row r="19245" spans="2:2" x14ac:dyDescent="0.25">
      <c r="B19245" s="1"/>
    </row>
    <row r="19246" spans="2:2" x14ac:dyDescent="0.25">
      <c r="B19246" s="1"/>
    </row>
    <row r="19247" spans="2:2" x14ac:dyDescent="0.25">
      <c r="B19247" s="1"/>
    </row>
    <row r="19248" spans="2:2" x14ac:dyDescent="0.25">
      <c r="B19248" s="1"/>
    </row>
    <row r="19249" spans="2:2" x14ac:dyDescent="0.25">
      <c r="B19249" s="1"/>
    </row>
    <row r="19250" spans="2:2" x14ac:dyDescent="0.25">
      <c r="B19250" s="1"/>
    </row>
    <row r="19251" spans="2:2" x14ac:dyDescent="0.25">
      <c r="B19251" s="1"/>
    </row>
    <row r="19252" spans="2:2" x14ac:dyDescent="0.25">
      <c r="B19252" s="1"/>
    </row>
    <row r="19253" spans="2:2" x14ac:dyDescent="0.25">
      <c r="B19253" s="1"/>
    </row>
    <row r="19254" spans="2:2" x14ac:dyDescent="0.25">
      <c r="B19254" s="1"/>
    </row>
    <row r="19255" spans="2:2" x14ac:dyDescent="0.25">
      <c r="B19255" s="1"/>
    </row>
    <row r="19256" spans="2:2" x14ac:dyDescent="0.25">
      <c r="B19256" s="1"/>
    </row>
    <row r="19257" spans="2:2" x14ac:dyDescent="0.25">
      <c r="B19257" s="1"/>
    </row>
    <row r="19258" spans="2:2" x14ac:dyDescent="0.25">
      <c r="B19258" s="1"/>
    </row>
    <row r="19259" spans="2:2" x14ac:dyDescent="0.25">
      <c r="B19259" s="1"/>
    </row>
    <row r="19260" spans="2:2" x14ac:dyDescent="0.25">
      <c r="B19260" s="1"/>
    </row>
    <row r="19261" spans="2:2" x14ac:dyDescent="0.25">
      <c r="B19261" s="1"/>
    </row>
    <row r="19262" spans="2:2" x14ac:dyDescent="0.25">
      <c r="B19262" s="1"/>
    </row>
    <row r="19263" spans="2:2" x14ac:dyDescent="0.25">
      <c r="B19263" s="1"/>
    </row>
    <row r="19264" spans="2:2" x14ac:dyDescent="0.25">
      <c r="B19264" s="1"/>
    </row>
    <row r="19265" spans="2:2" x14ac:dyDescent="0.25">
      <c r="B19265" s="1"/>
    </row>
    <row r="19266" spans="2:2" x14ac:dyDescent="0.25">
      <c r="B19266" s="1"/>
    </row>
    <row r="19267" spans="2:2" x14ac:dyDescent="0.25">
      <c r="B19267" s="1"/>
    </row>
    <row r="19268" spans="2:2" x14ac:dyDescent="0.25">
      <c r="B19268" s="1"/>
    </row>
    <row r="19269" spans="2:2" x14ac:dyDescent="0.25">
      <c r="B19269" s="1"/>
    </row>
    <row r="19270" spans="2:2" x14ac:dyDescent="0.25">
      <c r="B19270" s="1"/>
    </row>
    <row r="19271" spans="2:2" x14ac:dyDescent="0.25">
      <c r="B19271" s="1"/>
    </row>
    <row r="19272" spans="2:2" x14ac:dyDescent="0.25">
      <c r="B19272" s="1"/>
    </row>
    <row r="19273" spans="2:2" x14ac:dyDescent="0.25">
      <c r="B19273" s="1"/>
    </row>
    <row r="19274" spans="2:2" x14ac:dyDescent="0.25">
      <c r="B19274" s="1"/>
    </row>
    <row r="19275" spans="2:2" x14ac:dyDescent="0.25">
      <c r="B19275" s="1"/>
    </row>
    <row r="19276" spans="2:2" x14ac:dyDescent="0.25">
      <c r="B19276" s="1"/>
    </row>
    <row r="19277" spans="2:2" x14ac:dyDescent="0.25">
      <c r="B19277" s="1"/>
    </row>
    <row r="19278" spans="2:2" x14ac:dyDescent="0.25">
      <c r="B19278" s="1"/>
    </row>
    <row r="19279" spans="2:2" x14ac:dyDescent="0.25">
      <c r="B19279" s="1"/>
    </row>
    <row r="19280" spans="2:2" x14ac:dyDescent="0.25">
      <c r="B19280" s="1"/>
    </row>
    <row r="19281" spans="2:2" x14ac:dyDescent="0.25">
      <c r="B19281" s="1"/>
    </row>
    <row r="19282" spans="2:2" x14ac:dyDescent="0.25">
      <c r="B19282" s="1"/>
    </row>
    <row r="19283" spans="2:2" x14ac:dyDescent="0.25">
      <c r="B19283" s="1"/>
    </row>
    <row r="19284" spans="2:2" x14ac:dyDescent="0.25">
      <c r="B19284" s="1"/>
    </row>
    <row r="19285" spans="2:2" x14ac:dyDescent="0.25">
      <c r="B19285" s="1"/>
    </row>
    <row r="19286" spans="2:2" x14ac:dyDescent="0.25">
      <c r="B19286" s="1"/>
    </row>
    <row r="19287" spans="2:2" x14ac:dyDescent="0.25">
      <c r="B19287" s="1"/>
    </row>
    <row r="19288" spans="2:2" x14ac:dyDescent="0.25">
      <c r="B19288" s="1"/>
    </row>
    <row r="19289" spans="2:2" x14ac:dyDescent="0.25">
      <c r="B19289" s="1"/>
    </row>
    <row r="19290" spans="2:2" x14ac:dyDescent="0.25">
      <c r="B19290" s="1"/>
    </row>
    <row r="19291" spans="2:2" x14ac:dyDescent="0.25">
      <c r="B19291" s="1"/>
    </row>
    <row r="19292" spans="2:2" x14ac:dyDescent="0.25">
      <c r="B19292" s="1"/>
    </row>
    <row r="19293" spans="2:2" x14ac:dyDescent="0.25">
      <c r="B19293" s="1"/>
    </row>
    <row r="19294" spans="2:2" x14ac:dyDescent="0.25">
      <c r="B19294" s="1"/>
    </row>
    <row r="19295" spans="2:2" x14ac:dyDescent="0.25">
      <c r="B19295" s="1"/>
    </row>
    <row r="19296" spans="2:2" x14ac:dyDescent="0.25">
      <c r="B19296" s="1"/>
    </row>
    <row r="19297" spans="2:2" x14ac:dyDescent="0.25">
      <c r="B19297" s="1"/>
    </row>
    <row r="19298" spans="2:2" x14ac:dyDescent="0.25">
      <c r="B19298" s="1"/>
    </row>
    <row r="19299" spans="2:2" x14ac:dyDescent="0.25">
      <c r="B19299" s="1"/>
    </row>
    <row r="19300" spans="2:2" x14ac:dyDescent="0.25">
      <c r="B19300" s="1"/>
    </row>
    <row r="19301" spans="2:2" x14ac:dyDescent="0.25">
      <c r="B19301" s="1"/>
    </row>
    <row r="19302" spans="2:2" x14ac:dyDescent="0.25">
      <c r="B19302" s="1"/>
    </row>
    <row r="19303" spans="2:2" x14ac:dyDescent="0.25">
      <c r="B19303" s="1"/>
    </row>
    <row r="19304" spans="2:2" x14ac:dyDescent="0.25">
      <c r="B19304" s="1"/>
    </row>
    <row r="19305" spans="2:2" x14ac:dyDescent="0.25">
      <c r="B19305" s="1"/>
    </row>
    <row r="19306" spans="2:2" x14ac:dyDescent="0.25">
      <c r="B19306" s="1"/>
    </row>
    <row r="19307" spans="2:2" x14ac:dyDescent="0.25">
      <c r="B19307" s="1"/>
    </row>
    <row r="19308" spans="2:2" x14ac:dyDescent="0.25">
      <c r="B19308" s="1"/>
    </row>
    <row r="19309" spans="2:2" x14ac:dyDescent="0.25">
      <c r="B19309" s="1"/>
    </row>
    <row r="19310" spans="2:2" x14ac:dyDescent="0.25">
      <c r="B19310" s="1"/>
    </row>
    <row r="19311" spans="2:2" x14ac:dyDescent="0.25">
      <c r="B19311" s="1"/>
    </row>
    <row r="19312" spans="2:2" x14ac:dyDescent="0.25">
      <c r="B19312" s="1"/>
    </row>
    <row r="19313" spans="2:2" x14ac:dyDescent="0.25">
      <c r="B19313" s="1"/>
    </row>
    <row r="19314" spans="2:2" x14ac:dyDescent="0.25">
      <c r="B19314" s="1"/>
    </row>
    <row r="19315" spans="2:2" x14ac:dyDescent="0.25">
      <c r="B19315" s="1"/>
    </row>
    <row r="19316" spans="2:2" x14ac:dyDescent="0.25">
      <c r="B19316" s="1"/>
    </row>
    <row r="19317" spans="2:2" x14ac:dyDescent="0.25">
      <c r="B19317" s="1"/>
    </row>
    <row r="19318" spans="2:2" x14ac:dyDescent="0.25">
      <c r="B19318" s="1"/>
    </row>
    <row r="19319" spans="2:2" x14ac:dyDescent="0.25">
      <c r="B19319" s="1"/>
    </row>
    <row r="19320" spans="2:2" x14ac:dyDescent="0.25">
      <c r="B19320" s="1"/>
    </row>
    <row r="19321" spans="2:2" x14ac:dyDescent="0.25">
      <c r="B19321" s="1"/>
    </row>
    <row r="19322" spans="2:2" x14ac:dyDescent="0.25">
      <c r="B19322" s="1"/>
    </row>
    <row r="19323" spans="2:2" x14ac:dyDescent="0.25">
      <c r="B19323" s="1"/>
    </row>
    <row r="19324" spans="2:2" x14ac:dyDescent="0.25">
      <c r="B19324" s="1"/>
    </row>
    <row r="19325" spans="2:2" x14ac:dyDescent="0.25">
      <c r="B19325" s="1"/>
    </row>
    <row r="19326" spans="2:2" x14ac:dyDescent="0.25">
      <c r="B19326" s="1"/>
    </row>
    <row r="19327" spans="2:2" x14ac:dyDescent="0.25">
      <c r="B19327" s="1"/>
    </row>
    <row r="19328" spans="2:2" x14ac:dyDescent="0.25">
      <c r="B19328" s="1"/>
    </row>
    <row r="19329" spans="2:2" x14ac:dyDescent="0.25">
      <c r="B19329" s="1"/>
    </row>
    <row r="19330" spans="2:2" x14ac:dyDescent="0.25">
      <c r="B19330" s="1"/>
    </row>
    <row r="19331" spans="2:2" x14ac:dyDescent="0.25">
      <c r="B19331" s="1"/>
    </row>
    <row r="19332" spans="2:2" x14ac:dyDescent="0.25">
      <c r="B19332" s="1"/>
    </row>
    <row r="19333" spans="2:2" x14ac:dyDescent="0.25">
      <c r="B19333" s="1"/>
    </row>
    <row r="19334" spans="2:2" x14ac:dyDescent="0.25">
      <c r="B19334" s="1"/>
    </row>
    <row r="19335" spans="2:2" x14ac:dyDescent="0.25">
      <c r="B19335" s="1"/>
    </row>
    <row r="19336" spans="2:2" x14ac:dyDescent="0.25">
      <c r="B19336" s="1"/>
    </row>
    <row r="19337" spans="2:2" x14ac:dyDescent="0.25">
      <c r="B19337" s="1"/>
    </row>
    <row r="19338" spans="2:2" x14ac:dyDescent="0.25">
      <c r="B19338" s="1"/>
    </row>
    <row r="19339" spans="2:2" x14ac:dyDescent="0.25">
      <c r="B19339" s="1"/>
    </row>
    <row r="19340" spans="2:2" x14ac:dyDescent="0.25">
      <c r="B19340" s="1"/>
    </row>
    <row r="19341" spans="2:2" x14ac:dyDescent="0.25">
      <c r="B19341" s="1"/>
    </row>
    <row r="19342" spans="2:2" x14ac:dyDescent="0.25">
      <c r="B19342" s="1"/>
    </row>
    <row r="19343" spans="2:2" x14ac:dyDescent="0.25">
      <c r="B19343" s="1"/>
    </row>
    <row r="19344" spans="2:2" x14ac:dyDescent="0.25">
      <c r="B19344" s="1"/>
    </row>
    <row r="19345" spans="2:2" x14ac:dyDescent="0.25">
      <c r="B19345" s="1"/>
    </row>
    <row r="19346" spans="2:2" x14ac:dyDescent="0.25">
      <c r="B19346" s="1"/>
    </row>
    <row r="19347" spans="2:2" x14ac:dyDescent="0.25">
      <c r="B19347" s="1"/>
    </row>
    <row r="19348" spans="2:2" x14ac:dyDescent="0.25">
      <c r="B19348" s="1"/>
    </row>
    <row r="19349" spans="2:2" x14ac:dyDescent="0.25">
      <c r="B19349" s="1"/>
    </row>
    <row r="19350" spans="2:2" x14ac:dyDescent="0.25">
      <c r="B19350" s="1"/>
    </row>
    <row r="19351" spans="2:2" x14ac:dyDescent="0.25">
      <c r="B19351" s="1"/>
    </row>
    <row r="19352" spans="2:2" x14ac:dyDescent="0.25">
      <c r="B19352" s="1"/>
    </row>
    <row r="19353" spans="2:2" x14ac:dyDescent="0.25">
      <c r="B19353" s="1"/>
    </row>
    <row r="19354" spans="2:2" x14ac:dyDescent="0.25">
      <c r="B19354" s="1"/>
    </row>
    <row r="19355" spans="2:2" x14ac:dyDescent="0.25">
      <c r="B19355" s="1"/>
    </row>
    <row r="19356" spans="2:2" x14ac:dyDescent="0.25">
      <c r="B19356" s="1"/>
    </row>
    <row r="19357" spans="2:2" x14ac:dyDescent="0.25">
      <c r="B19357" s="1"/>
    </row>
    <row r="19358" spans="2:2" x14ac:dyDescent="0.25">
      <c r="B19358" s="1"/>
    </row>
    <row r="19359" spans="2:2" x14ac:dyDescent="0.25">
      <c r="B19359" s="1"/>
    </row>
    <row r="19360" spans="2:2" x14ac:dyDescent="0.25">
      <c r="B19360" s="1"/>
    </row>
    <row r="19361" spans="2:2" x14ac:dyDescent="0.25">
      <c r="B19361" s="1"/>
    </row>
    <row r="19362" spans="2:2" x14ac:dyDescent="0.25">
      <c r="B19362" s="1"/>
    </row>
    <row r="19363" spans="2:2" x14ac:dyDescent="0.25">
      <c r="B19363" s="1"/>
    </row>
    <row r="19364" spans="2:2" x14ac:dyDescent="0.25">
      <c r="B19364" s="1"/>
    </row>
    <row r="19365" spans="2:2" x14ac:dyDescent="0.25">
      <c r="B19365" s="1"/>
    </row>
    <row r="19366" spans="2:2" x14ac:dyDescent="0.25">
      <c r="B19366" s="1"/>
    </row>
    <row r="19367" spans="2:2" x14ac:dyDescent="0.25">
      <c r="B19367" s="1"/>
    </row>
    <row r="19368" spans="2:2" x14ac:dyDescent="0.25">
      <c r="B19368" s="1"/>
    </row>
    <row r="19369" spans="2:2" x14ac:dyDescent="0.25">
      <c r="B19369" s="1"/>
    </row>
    <row r="19370" spans="2:2" x14ac:dyDescent="0.25">
      <c r="B19370" s="1"/>
    </row>
    <row r="19371" spans="2:2" x14ac:dyDescent="0.25">
      <c r="B19371" s="1"/>
    </row>
    <row r="19372" spans="2:2" x14ac:dyDescent="0.25">
      <c r="B19372" s="1"/>
    </row>
    <row r="19373" spans="2:2" x14ac:dyDescent="0.25">
      <c r="B19373" s="1"/>
    </row>
    <row r="19374" spans="2:2" x14ac:dyDescent="0.25">
      <c r="B19374" s="1"/>
    </row>
    <row r="19375" spans="2:2" x14ac:dyDescent="0.25">
      <c r="B19375" s="1"/>
    </row>
    <row r="19376" spans="2:2" x14ac:dyDescent="0.25">
      <c r="B19376" s="1"/>
    </row>
    <row r="19377" spans="2:2" x14ac:dyDescent="0.25">
      <c r="B19377" s="1"/>
    </row>
    <row r="19378" spans="2:2" x14ac:dyDescent="0.25">
      <c r="B19378" s="1"/>
    </row>
    <row r="19379" spans="2:2" x14ac:dyDescent="0.25">
      <c r="B19379" s="1"/>
    </row>
    <row r="19380" spans="2:2" x14ac:dyDescent="0.25">
      <c r="B19380" s="1"/>
    </row>
    <row r="19381" spans="2:2" x14ac:dyDescent="0.25">
      <c r="B19381" s="1"/>
    </row>
    <row r="19382" spans="2:2" x14ac:dyDescent="0.25">
      <c r="B19382" s="1"/>
    </row>
    <row r="19383" spans="2:2" x14ac:dyDescent="0.25">
      <c r="B19383" s="1"/>
    </row>
    <row r="19384" spans="2:2" x14ac:dyDescent="0.25">
      <c r="B19384" s="1"/>
    </row>
    <row r="19385" spans="2:2" x14ac:dyDescent="0.25">
      <c r="B19385" s="1"/>
    </row>
    <row r="19386" spans="2:2" x14ac:dyDescent="0.25">
      <c r="B19386" s="1"/>
    </row>
    <row r="19387" spans="2:2" x14ac:dyDescent="0.25">
      <c r="B19387" s="1"/>
    </row>
    <row r="19388" spans="2:2" x14ac:dyDescent="0.25">
      <c r="B19388" s="1"/>
    </row>
    <row r="19389" spans="2:2" x14ac:dyDescent="0.25">
      <c r="B19389" s="1"/>
    </row>
    <row r="19390" spans="2:2" x14ac:dyDescent="0.25">
      <c r="B19390" s="1"/>
    </row>
    <row r="19391" spans="2:2" x14ac:dyDescent="0.25">
      <c r="B19391" s="1"/>
    </row>
    <row r="19392" spans="2:2" x14ac:dyDescent="0.25">
      <c r="B19392" s="1"/>
    </row>
    <row r="19393" spans="2:2" x14ac:dyDescent="0.25">
      <c r="B19393" s="1"/>
    </row>
    <row r="19394" spans="2:2" x14ac:dyDescent="0.25">
      <c r="B19394" s="1"/>
    </row>
    <row r="19395" spans="2:2" x14ac:dyDescent="0.25">
      <c r="B19395" s="1"/>
    </row>
    <row r="19396" spans="2:2" x14ac:dyDescent="0.25">
      <c r="B19396" s="1"/>
    </row>
    <row r="19397" spans="2:2" x14ac:dyDescent="0.25">
      <c r="B19397" s="1"/>
    </row>
    <row r="19398" spans="2:2" x14ac:dyDescent="0.25">
      <c r="B19398" s="1"/>
    </row>
    <row r="19399" spans="2:2" x14ac:dyDescent="0.25">
      <c r="B19399" s="1"/>
    </row>
    <row r="19400" spans="2:2" x14ac:dyDescent="0.25">
      <c r="B19400" s="1"/>
    </row>
    <row r="19401" spans="2:2" x14ac:dyDescent="0.25">
      <c r="B19401" s="1"/>
    </row>
    <row r="19402" spans="2:2" x14ac:dyDescent="0.25">
      <c r="B19402" s="1"/>
    </row>
    <row r="19403" spans="2:2" x14ac:dyDescent="0.25">
      <c r="B19403" s="1"/>
    </row>
    <row r="19404" spans="2:2" x14ac:dyDescent="0.25">
      <c r="B19404" s="1"/>
    </row>
    <row r="19405" spans="2:2" x14ac:dyDescent="0.25">
      <c r="B19405" s="1"/>
    </row>
    <row r="19406" spans="2:2" x14ac:dyDescent="0.25">
      <c r="B19406" s="1"/>
    </row>
    <row r="19407" spans="2:2" x14ac:dyDescent="0.25">
      <c r="B19407" s="1"/>
    </row>
    <row r="19408" spans="2:2" x14ac:dyDescent="0.25">
      <c r="B19408" s="1"/>
    </row>
    <row r="19409" spans="2:2" x14ac:dyDescent="0.25">
      <c r="B19409" s="1"/>
    </row>
    <row r="19410" spans="2:2" x14ac:dyDescent="0.25">
      <c r="B19410" s="1"/>
    </row>
    <row r="19411" spans="2:2" x14ac:dyDescent="0.25">
      <c r="B19411" s="1"/>
    </row>
    <row r="19412" spans="2:2" x14ac:dyDescent="0.25">
      <c r="B19412" s="1"/>
    </row>
    <row r="19413" spans="2:2" x14ac:dyDescent="0.25">
      <c r="B19413" s="1"/>
    </row>
    <row r="19414" spans="2:2" x14ac:dyDescent="0.25">
      <c r="B19414" s="1"/>
    </row>
    <row r="19415" spans="2:2" x14ac:dyDescent="0.25">
      <c r="B19415" s="1"/>
    </row>
    <row r="19416" spans="2:2" x14ac:dyDescent="0.25">
      <c r="B19416" s="1"/>
    </row>
    <row r="19417" spans="2:2" x14ac:dyDescent="0.25">
      <c r="B19417" s="1"/>
    </row>
    <row r="19418" spans="2:2" x14ac:dyDescent="0.25">
      <c r="B19418" s="1"/>
    </row>
    <row r="19419" spans="2:2" x14ac:dyDescent="0.25">
      <c r="B19419" s="1"/>
    </row>
    <row r="19420" spans="2:2" x14ac:dyDescent="0.25">
      <c r="B19420" s="1"/>
    </row>
    <row r="19421" spans="2:2" x14ac:dyDescent="0.25">
      <c r="B19421" s="1"/>
    </row>
    <row r="19422" spans="2:2" x14ac:dyDescent="0.25">
      <c r="B19422" s="1"/>
    </row>
    <row r="19423" spans="2:2" x14ac:dyDescent="0.25">
      <c r="B19423" s="1"/>
    </row>
    <row r="19424" spans="2:2" x14ac:dyDescent="0.25">
      <c r="B19424" s="1"/>
    </row>
    <row r="19425" spans="2:2" x14ac:dyDescent="0.25">
      <c r="B19425" s="1"/>
    </row>
    <row r="19426" spans="2:2" x14ac:dyDescent="0.25">
      <c r="B19426" s="1"/>
    </row>
    <row r="19427" spans="2:2" x14ac:dyDescent="0.25">
      <c r="B19427" s="1"/>
    </row>
    <row r="19428" spans="2:2" x14ac:dyDescent="0.25">
      <c r="B19428" s="1"/>
    </row>
    <row r="19429" spans="2:2" x14ac:dyDescent="0.25">
      <c r="B19429" s="1"/>
    </row>
    <row r="19430" spans="2:2" x14ac:dyDescent="0.25">
      <c r="B19430" s="1"/>
    </row>
    <row r="19431" spans="2:2" x14ac:dyDescent="0.25">
      <c r="B19431" s="1"/>
    </row>
    <row r="19432" spans="2:2" x14ac:dyDescent="0.25">
      <c r="B19432" s="1"/>
    </row>
    <row r="19433" spans="2:2" x14ac:dyDescent="0.25">
      <c r="B19433" s="1"/>
    </row>
    <row r="19434" spans="2:2" x14ac:dyDescent="0.25">
      <c r="B19434" s="1"/>
    </row>
    <row r="19435" spans="2:2" x14ac:dyDescent="0.25">
      <c r="B19435" s="1"/>
    </row>
    <row r="19436" spans="2:2" x14ac:dyDescent="0.25">
      <c r="B19436" s="1"/>
    </row>
    <row r="19437" spans="2:2" x14ac:dyDescent="0.25">
      <c r="B19437" s="1"/>
    </row>
    <row r="19438" spans="2:2" x14ac:dyDescent="0.25">
      <c r="B19438" s="1"/>
    </row>
    <row r="19439" spans="2:2" x14ac:dyDescent="0.25">
      <c r="B19439" s="1"/>
    </row>
    <row r="19440" spans="2:2" x14ac:dyDescent="0.25">
      <c r="B19440" s="1"/>
    </row>
    <row r="19441" spans="2:2" x14ac:dyDescent="0.25">
      <c r="B19441" s="1"/>
    </row>
    <row r="19442" spans="2:2" x14ac:dyDescent="0.25">
      <c r="B19442" s="1"/>
    </row>
    <row r="19443" spans="2:2" x14ac:dyDescent="0.25">
      <c r="B19443" s="1"/>
    </row>
    <row r="19444" spans="2:2" x14ac:dyDescent="0.25">
      <c r="B19444" s="1"/>
    </row>
    <row r="19445" spans="2:2" x14ac:dyDescent="0.25">
      <c r="B19445" s="1"/>
    </row>
    <row r="19446" spans="2:2" x14ac:dyDescent="0.25">
      <c r="B19446" s="1"/>
    </row>
    <row r="19447" spans="2:2" x14ac:dyDescent="0.25">
      <c r="B19447" s="1"/>
    </row>
    <row r="19448" spans="2:2" x14ac:dyDescent="0.25">
      <c r="B19448" s="1"/>
    </row>
    <row r="19449" spans="2:2" x14ac:dyDescent="0.25">
      <c r="B19449" s="1"/>
    </row>
    <row r="19450" spans="2:2" x14ac:dyDescent="0.25">
      <c r="B19450" s="1"/>
    </row>
    <row r="19451" spans="2:2" x14ac:dyDescent="0.25">
      <c r="B19451" s="1"/>
    </row>
    <row r="19452" spans="2:2" x14ac:dyDescent="0.25">
      <c r="B19452" s="1"/>
    </row>
    <row r="19453" spans="2:2" x14ac:dyDescent="0.25">
      <c r="B19453" s="1"/>
    </row>
    <row r="19454" spans="2:2" x14ac:dyDescent="0.25">
      <c r="B19454" s="1"/>
    </row>
    <row r="19455" spans="2:2" x14ac:dyDescent="0.25">
      <c r="B19455" s="1"/>
    </row>
    <row r="19456" spans="2:2" x14ac:dyDescent="0.25">
      <c r="B19456" s="1"/>
    </row>
    <row r="19457" spans="2:2" x14ac:dyDescent="0.25">
      <c r="B19457" s="1"/>
    </row>
    <row r="19458" spans="2:2" x14ac:dyDescent="0.25">
      <c r="B19458" s="1"/>
    </row>
    <row r="19459" spans="2:2" x14ac:dyDescent="0.25">
      <c r="B19459" s="1"/>
    </row>
    <row r="19460" spans="2:2" x14ac:dyDescent="0.25">
      <c r="B19460" s="1"/>
    </row>
    <row r="19461" spans="2:2" x14ac:dyDescent="0.25">
      <c r="B19461" s="1"/>
    </row>
    <row r="19462" spans="2:2" x14ac:dyDescent="0.25">
      <c r="B19462" s="1"/>
    </row>
    <row r="19463" spans="2:2" x14ac:dyDescent="0.25">
      <c r="B19463" s="1"/>
    </row>
    <row r="19464" spans="2:2" x14ac:dyDescent="0.25">
      <c r="B19464" s="1"/>
    </row>
    <row r="19465" spans="2:2" x14ac:dyDescent="0.25">
      <c r="B19465" s="1"/>
    </row>
    <row r="19466" spans="2:2" x14ac:dyDescent="0.25">
      <c r="B19466" s="1"/>
    </row>
    <row r="19467" spans="2:2" x14ac:dyDescent="0.25">
      <c r="B19467" s="1"/>
    </row>
    <row r="19468" spans="2:2" x14ac:dyDescent="0.25">
      <c r="B19468" s="1"/>
    </row>
    <row r="19469" spans="2:2" x14ac:dyDescent="0.25">
      <c r="B19469" s="1"/>
    </row>
    <row r="19470" spans="2:2" x14ac:dyDescent="0.25">
      <c r="B19470" s="1"/>
    </row>
    <row r="19471" spans="2:2" x14ac:dyDescent="0.25">
      <c r="B19471" s="1"/>
    </row>
    <row r="19472" spans="2:2" x14ac:dyDescent="0.25">
      <c r="B19472" s="1"/>
    </row>
    <row r="19473" spans="2:2" x14ac:dyDescent="0.25">
      <c r="B19473" s="1"/>
    </row>
    <row r="19474" spans="2:2" x14ac:dyDescent="0.25">
      <c r="B19474" s="1"/>
    </row>
    <row r="19475" spans="2:2" x14ac:dyDescent="0.25">
      <c r="B19475" s="1"/>
    </row>
    <row r="19476" spans="2:2" x14ac:dyDescent="0.25">
      <c r="B19476" s="1"/>
    </row>
    <row r="19477" spans="2:2" x14ac:dyDescent="0.25">
      <c r="B19477" s="1"/>
    </row>
    <row r="19478" spans="2:2" x14ac:dyDescent="0.25">
      <c r="B19478" s="1"/>
    </row>
    <row r="19479" spans="2:2" x14ac:dyDescent="0.25">
      <c r="B19479" s="1"/>
    </row>
    <row r="19480" spans="2:2" x14ac:dyDescent="0.25">
      <c r="B19480" s="1"/>
    </row>
    <row r="19481" spans="2:2" x14ac:dyDescent="0.25">
      <c r="B19481" s="1"/>
    </row>
    <row r="19482" spans="2:2" x14ac:dyDescent="0.25">
      <c r="B19482" s="1"/>
    </row>
    <row r="19483" spans="2:2" x14ac:dyDescent="0.25">
      <c r="B19483" s="1"/>
    </row>
    <row r="19484" spans="2:2" x14ac:dyDescent="0.25">
      <c r="B19484" s="1"/>
    </row>
    <row r="19485" spans="2:2" x14ac:dyDescent="0.25">
      <c r="B19485" s="1"/>
    </row>
    <row r="19486" spans="2:2" x14ac:dyDescent="0.25">
      <c r="B19486" s="1"/>
    </row>
    <row r="19487" spans="2:2" x14ac:dyDescent="0.25">
      <c r="B19487" s="1"/>
    </row>
    <row r="19488" spans="2:2" x14ac:dyDescent="0.25">
      <c r="B19488" s="1"/>
    </row>
    <row r="19489" spans="2:2" x14ac:dyDescent="0.25">
      <c r="B19489" s="1"/>
    </row>
    <row r="19490" spans="2:2" x14ac:dyDescent="0.25">
      <c r="B19490" s="1"/>
    </row>
    <row r="19491" spans="2:2" x14ac:dyDescent="0.25">
      <c r="B19491" s="1"/>
    </row>
    <row r="19492" spans="2:2" x14ac:dyDescent="0.25">
      <c r="B19492" s="1"/>
    </row>
    <row r="19493" spans="2:2" x14ac:dyDescent="0.25">
      <c r="B19493" s="1"/>
    </row>
    <row r="19494" spans="2:2" x14ac:dyDescent="0.25">
      <c r="B19494" s="1"/>
    </row>
    <row r="19495" spans="2:2" x14ac:dyDescent="0.25">
      <c r="B19495" s="1"/>
    </row>
    <row r="19496" spans="2:2" x14ac:dyDescent="0.25">
      <c r="B19496" s="1"/>
    </row>
    <row r="19497" spans="2:2" x14ac:dyDescent="0.25">
      <c r="B19497" s="1"/>
    </row>
    <row r="19498" spans="2:2" x14ac:dyDescent="0.25">
      <c r="B19498" s="1"/>
    </row>
    <row r="19499" spans="2:2" x14ac:dyDescent="0.25">
      <c r="B19499" s="1"/>
    </row>
    <row r="19500" spans="2:2" x14ac:dyDescent="0.25">
      <c r="B19500" s="1"/>
    </row>
    <row r="19501" spans="2:2" x14ac:dyDescent="0.25">
      <c r="B19501" s="1"/>
    </row>
    <row r="19502" spans="2:2" x14ac:dyDescent="0.25">
      <c r="B19502" s="1"/>
    </row>
    <row r="19503" spans="2:2" x14ac:dyDescent="0.25">
      <c r="B19503" s="1"/>
    </row>
    <row r="19504" spans="2:2" x14ac:dyDescent="0.25">
      <c r="B19504" s="1"/>
    </row>
    <row r="19505" spans="2:2" x14ac:dyDescent="0.25">
      <c r="B19505" s="1"/>
    </row>
    <row r="19506" spans="2:2" x14ac:dyDescent="0.25">
      <c r="B19506" s="1"/>
    </row>
    <row r="19507" spans="2:2" x14ac:dyDescent="0.25">
      <c r="B19507" s="1"/>
    </row>
    <row r="19508" spans="2:2" x14ac:dyDescent="0.25">
      <c r="B19508" s="1"/>
    </row>
    <row r="19509" spans="2:2" x14ac:dyDescent="0.25">
      <c r="B19509" s="1"/>
    </row>
    <row r="19510" spans="2:2" x14ac:dyDescent="0.25">
      <c r="B19510" s="1"/>
    </row>
    <row r="19511" spans="2:2" x14ac:dyDescent="0.25">
      <c r="B19511" s="1"/>
    </row>
    <row r="19512" spans="2:2" x14ac:dyDescent="0.25">
      <c r="B19512" s="1"/>
    </row>
    <row r="19513" spans="2:2" x14ac:dyDescent="0.25">
      <c r="B19513" s="1"/>
    </row>
    <row r="19514" spans="2:2" x14ac:dyDescent="0.25">
      <c r="B19514" s="1"/>
    </row>
    <row r="19515" spans="2:2" x14ac:dyDescent="0.25">
      <c r="B19515" s="1"/>
    </row>
    <row r="19516" spans="2:2" x14ac:dyDescent="0.25">
      <c r="B19516" s="1"/>
    </row>
    <row r="19517" spans="2:2" x14ac:dyDescent="0.25">
      <c r="B19517" s="1"/>
    </row>
    <row r="19518" spans="2:2" x14ac:dyDescent="0.25">
      <c r="B19518" s="1"/>
    </row>
    <row r="19519" spans="2:2" x14ac:dyDescent="0.25">
      <c r="B19519" s="1"/>
    </row>
    <row r="19520" spans="2:2" x14ac:dyDescent="0.25">
      <c r="B19520" s="1"/>
    </row>
    <row r="19521" spans="2:2" x14ac:dyDescent="0.25">
      <c r="B19521" s="1"/>
    </row>
    <row r="19522" spans="2:2" x14ac:dyDescent="0.25">
      <c r="B19522" s="1"/>
    </row>
    <row r="19523" spans="2:2" x14ac:dyDescent="0.25">
      <c r="B19523" s="1"/>
    </row>
    <row r="19524" spans="2:2" x14ac:dyDescent="0.25">
      <c r="B19524" s="1"/>
    </row>
    <row r="19525" spans="2:2" x14ac:dyDescent="0.25">
      <c r="B19525" s="1"/>
    </row>
    <row r="19526" spans="2:2" x14ac:dyDescent="0.25">
      <c r="B19526" s="1"/>
    </row>
    <row r="19527" spans="2:2" x14ac:dyDescent="0.25">
      <c r="B19527" s="1"/>
    </row>
    <row r="19528" spans="2:2" x14ac:dyDescent="0.25">
      <c r="B19528" s="1"/>
    </row>
    <row r="19529" spans="2:2" x14ac:dyDescent="0.25">
      <c r="B19529" s="1"/>
    </row>
    <row r="19530" spans="2:2" x14ac:dyDescent="0.25">
      <c r="B19530" s="1"/>
    </row>
    <row r="19531" spans="2:2" x14ac:dyDescent="0.25">
      <c r="B19531" s="1"/>
    </row>
    <row r="19532" spans="2:2" x14ac:dyDescent="0.25">
      <c r="B19532" s="1"/>
    </row>
    <row r="19533" spans="2:2" x14ac:dyDescent="0.25">
      <c r="B19533" s="1"/>
    </row>
    <row r="19534" spans="2:2" x14ac:dyDescent="0.25">
      <c r="B19534" s="1"/>
    </row>
    <row r="19535" spans="2:2" x14ac:dyDescent="0.25">
      <c r="B19535" s="1"/>
    </row>
    <row r="19536" spans="2:2" x14ac:dyDescent="0.25">
      <c r="B19536" s="1"/>
    </row>
    <row r="19537" spans="2:2" x14ac:dyDescent="0.25">
      <c r="B19537" s="1"/>
    </row>
    <row r="19538" spans="2:2" x14ac:dyDescent="0.25">
      <c r="B19538" s="1"/>
    </row>
    <row r="19539" spans="2:2" x14ac:dyDescent="0.25">
      <c r="B19539" s="1"/>
    </row>
    <row r="19540" spans="2:2" x14ac:dyDescent="0.25">
      <c r="B19540" s="1"/>
    </row>
    <row r="19541" spans="2:2" x14ac:dyDescent="0.25">
      <c r="B19541" s="1"/>
    </row>
    <row r="19542" spans="2:2" x14ac:dyDescent="0.25">
      <c r="B19542" s="1"/>
    </row>
    <row r="19543" spans="2:2" x14ac:dyDescent="0.25">
      <c r="B19543" s="1"/>
    </row>
    <row r="19544" spans="2:2" x14ac:dyDescent="0.25">
      <c r="B19544" s="1"/>
    </row>
    <row r="19545" spans="2:2" x14ac:dyDescent="0.25">
      <c r="B19545" s="1"/>
    </row>
    <row r="19546" spans="2:2" x14ac:dyDescent="0.25">
      <c r="B19546" s="1"/>
    </row>
    <row r="19547" spans="2:2" x14ac:dyDescent="0.25">
      <c r="B19547" s="1"/>
    </row>
    <row r="19548" spans="2:2" x14ac:dyDescent="0.25">
      <c r="B19548" s="1"/>
    </row>
    <row r="19549" spans="2:2" x14ac:dyDescent="0.25">
      <c r="B19549" s="1"/>
    </row>
    <row r="19550" spans="2:2" x14ac:dyDescent="0.25">
      <c r="B19550" s="1"/>
    </row>
    <row r="19551" spans="2:2" x14ac:dyDescent="0.25">
      <c r="B19551" s="1"/>
    </row>
    <row r="19552" spans="2:2" x14ac:dyDescent="0.25">
      <c r="B19552" s="1"/>
    </row>
    <row r="19553" spans="2:2" x14ac:dyDescent="0.25">
      <c r="B19553" s="1"/>
    </row>
    <row r="19554" spans="2:2" x14ac:dyDescent="0.25">
      <c r="B19554" s="1"/>
    </row>
    <row r="19555" spans="2:2" x14ac:dyDescent="0.25">
      <c r="B19555" s="1"/>
    </row>
    <row r="19556" spans="2:2" x14ac:dyDescent="0.25">
      <c r="B19556" s="1"/>
    </row>
    <row r="19557" spans="2:2" x14ac:dyDescent="0.25">
      <c r="B19557" s="1"/>
    </row>
    <row r="19558" spans="2:2" x14ac:dyDescent="0.25">
      <c r="B19558" s="1"/>
    </row>
    <row r="19559" spans="2:2" x14ac:dyDescent="0.25">
      <c r="B19559" s="1"/>
    </row>
    <row r="19560" spans="2:2" x14ac:dyDescent="0.25">
      <c r="B19560" s="1"/>
    </row>
    <row r="19561" spans="2:2" x14ac:dyDescent="0.25">
      <c r="B19561" s="1"/>
    </row>
    <row r="19562" spans="2:2" x14ac:dyDescent="0.25">
      <c r="B19562" s="1"/>
    </row>
    <row r="19563" spans="2:2" x14ac:dyDescent="0.25">
      <c r="B19563" s="1"/>
    </row>
    <row r="19564" spans="2:2" x14ac:dyDescent="0.25">
      <c r="B19564" s="1"/>
    </row>
    <row r="19565" spans="2:2" x14ac:dyDescent="0.25">
      <c r="B19565" s="1"/>
    </row>
    <row r="19566" spans="2:2" x14ac:dyDescent="0.25">
      <c r="B19566" s="1"/>
    </row>
    <row r="19567" spans="2:2" x14ac:dyDescent="0.25">
      <c r="B19567" s="1"/>
    </row>
    <row r="19568" spans="2:2" x14ac:dyDescent="0.25">
      <c r="B19568" s="1"/>
    </row>
    <row r="19569" spans="2:2" x14ac:dyDescent="0.25">
      <c r="B19569" s="1"/>
    </row>
    <row r="19570" spans="2:2" x14ac:dyDescent="0.25">
      <c r="B19570" s="1"/>
    </row>
    <row r="19571" spans="2:2" x14ac:dyDescent="0.25">
      <c r="B19571" s="1"/>
    </row>
    <row r="19572" spans="2:2" x14ac:dyDescent="0.25">
      <c r="B19572" s="1"/>
    </row>
    <row r="19573" spans="2:2" x14ac:dyDescent="0.25">
      <c r="B19573" s="1"/>
    </row>
    <row r="19574" spans="2:2" x14ac:dyDescent="0.25">
      <c r="B19574" s="1"/>
    </row>
    <row r="19575" spans="2:2" x14ac:dyDescent="0.25">
      <c r="B19575" s="1"/>
    </row>
    <row r="19576" spans="2:2" x14ac:dyDescent="0.25">
      <c r="B19576" s="1"/>
    </row>
    <row r="19577" spans="2:2" x14ac:dyDescent="0.25">
      <c r="B19577" s="1"/>
    </row>
    <row r="19578" spans="2:2" x14ac:dyDescent="0.25">
      <c r="B19578" s="1"/>
    </row>
    <row r="19579" spans="2:2" x14ac:dyDescent="0.25">
      <c r="B19579" s="1"/>
    </row>
    <row r="19580" spans="2:2" x14ac:dyDescent="0.25">
      <c r="B19580" s="1"/>
    </row>
    <row r="19581" spans="2:2" x14ac:dyDescent="0.25">
      <c r="B19581" s="1"/>
    </row>
    <row r="19582" spans="2:2" x14ac:dyDescent="0.25">
      <c r="B19582" s="1"/>
    </row>
    <row r="19583" spans="2:2" x14ac:dyDescent="0.25">
      <c r="B19583" s="1"/>
    </row>
    <row r="19584" spans="2:2" x14ac:dyDescent="0.25">
      <c r="B19584" s="1"/>
    </row>
    <row r="19585" spans="2:2" x14ac:dyDescent="0.25">
      <c r="B19585" s="1"/>
    </row>
    <row r="19586" spans="2:2" x14ac:dyDescent="0.25">
      <c r="B19586" s="1"/>
    </row>
    <row r="19587" spans="2:2" x14ac:dyDescent="0.25">
      <c r="B19587" s="1"/>
    </row>
    <row r="19588" spans="2:2" x14ac:dyDescent="0.25">
      <c r="B19588" s="1"/>
    </row>
    <row r="19589" spans="2:2" x14ac:dyDescent="0.25">
      <c r="B19589" s="1"/>
    </row>
    <row r="19590" spans="2:2" x14ac:dyDescent="0.25">
      <c r="B19590" s="1"/>
    </row>
    <row r="19591" spans="2:2" x14ac:dyDescent="0.25">
      <c r="B19591" s="1"/>
    </row>
    <row r="19592" spans="2:2" x14ac:dyDescent="0.25">
      <c r="B19592" s="1"/>
    </row>
    <row r="19593" spans="2:2" x14ac:dyDescent="0.25">
      <c r="B19593" s="1"/>
    </row>
    <row r="19594" spans="2:2" x14ac:dyDescent="0.25">
      <c r="B19594" s="1"/>
    </row>
    <row r="19595" spans="2:2" x14ac:dyDescent="0.25">
      <c r="B19595" s="1"/>
    </row>
    <row r="19596" spans="2:2" x14ac:dyDescent="0.25">
      <c r="B19596" s="1"/>
    </row>
    <row r="19597" spans="2:2" x14ac:dyDescent="0.25">
      <c r="B19597" s="1"/>
    </row>
    <row r="19598" spans="2:2" x14ac:dyDescent="0.25">
      <c r="B19598" s="1"/>
    </row>
    <row r="19599" spans="2:2" x14ac:dyDescent="0.25">
      <c r="B19599" s="1"/>
    </row>
    <row r="19600" spans="2:2" x14ac:dyDescent="0.25">
      <c r="B19600" s="1"/>
    </row>
    <row r="19601" spans="2:2" x14ac:dyDescent="0.25">
      <c r="B19601" s="1"/>
    </row>
    <row r="19602" spans="2:2" x14ac:dyDescent="0.25">
      <c r="B19602" s="1"/>
    </row>
    <row r="19603" spans="2:2" x14ac:dyDescent="0.25">
      <c r="B19603" s="1"/>
    </row>
    <row r="19604" spans="2:2" x14ac:dyDescent="0.25">
      <c r="B19604" s="1"/>
    </row>
    <row r="19605" spans="2:2" x14ac:dyDescent="0.25">
      <c r="B19605" s="1"/>
    </row>
    <row r="19606" spans="2:2" x14ac:dyDescent="0.25">
      <c r="B19606" s="1"/>
    </row>
    <row r="19607" spans="2:2" x14ac:dyDescent="0.25">
      <c r="B19607" s="1"/>
    </row>
    <row r="19608" spans="2:2" x14ac:dyDescent="0.25">
      <c r="B19608" s="1"/>
    </row>
    <row r="19609" spans="2:2" x14ac:dyDescent="0.25">
      <c r="B19609" s="1"/>
    </row>
    <row r="19610" spans="2:2" x14ac:dyDescent="0.25">
      <c r="B19610" s="1"/>
    </row>
    <row r="19611" spans="2:2" x14ac:dyDescent="0.25">
      <c r="B19611" s="1"/>
    </row>
    <row r="19612" spans="2:2" x14ac:dyDescent="0.25">
      <c r="B19612" s="1"/>
    </row>
    <row r="19613" spans="2:2" x14ac:dyDescent="0.25">
      <c r="B19613" s="1"/>
    </row>
    <row r="19614" spans="2:2" x14ac:dyDescent="0.25">
      <c r="B19614" s="1"/>
    </row>
    <row r="19615" spans="2:2" x14ac:dyDescent="0.25">
      <c r="B19615" s="1"/>
    </row>
    <row r="19616" spans="2:2" x14ac:dyDescent="0.25">
      <c r="B19616" s="1"/>
    </row>
    <row r="19617" spans="2:2" x14ac:dyDescent="0.25">
      <c r="B19617" s="1"/>
    </row>
    <row r="19618" spans="2:2" x14ac:dyDescent="0.25">
      <c r="B19618" s="1"/>
    </row>
    <row r="19619" spans="2:2" x14ac:dyDescent="0.25">
      <c r="B19619" s="1"/>
    </row>
    <row r="19620" spans="2:2" x14ac:dyDescent="0.25">
      <c r="B19620" s="1"/>
    </row>
    <row r="19621" spans="2:2" x14ac:dyDescent="0.25">
      <c r="B19621" s="1"/>
    </row>
    <row r="19622" spans="2:2" x14ac:dyDescent="0.25">
      <c r="B19622" s="1"/>
    </row>
    <row r="19623" spans="2:2" x14ac:dyDescent="0.25">
      <c r="B19623" s="1"/>
    </row>
    <row r="19624" spans="2:2" x14ac:dyDescent="0.25">
      <c r="B19624" s="1"/>
    </row>
    <row r="19625" spans="2:2" x14ac:dyDescent="0.25">
      <c r="B19625" s="1"/>
    </row>
    <row r="19626" spans="2:2" x14ac:dyDescent="0.25">
      <c r="B19626" s="1"/>
    </row>
    <row r="19627" spans="2:2" x14ac:dyDescent="0.25">
      <c r="B19627" s="1"/>
    </row>
    <row r="19628" spans="2:2" x14ac:dyDescent="0.25">
      <c r="B19628" s="1"/>
    </row>
    <row r="19629" spans="2:2" x14ac:dyDescent="0.25">
      <c r="B19629" s="1"/>
    </row>
    <row r="19630" spans="2:2" x14ac:dyDescent="0.25">
      <c r="B19630" s="1"/>
    </row>
    <row r="19631" spans="2:2" x14ac:dyDescent="0.25">
      <c r="B19631" s="1"/>
    </row>
    <row r="19632" spans="2:2" x14ac:dyDescent="0.25">
      <c r="B19632" s="1"/>
    </row>
    <row r="19633" spans="2:2" x14ac:dyDescent="0.25">
      <c r="B19633" s="1"/>
    </row>
    <row r="19634" spans="2:2" x14ac:dyDescent="0.25">
      <c r="B19634" s="1"/>
    </row>
    <row r="19635" spans="2:2" x14ac:dyDescent="0.25">
      <c r="B19635" s="1"/>
    </row>
    <row r="19636" spans="2:2" x14ac:dyDescent="0.25">
      <c r="B19636" s="1"/>
    </row>
    <row r="19637" spans="2:2" x14ac:dyDescent="0.25">
      <c r="B19637" s="1"/>
    </row>
    <row r="19638" spans="2:2" x14ac:dyDescent="0.25">
      <c r="B19638" s="1"/>
    </row>
    <row r="19639" spans="2:2" x14ac:dyDescent="0.25">
      <c r="B19639" s="1"/>
    </row>
    <row r="19640" spans="2:2" x14ac:dyDescent="0.25">
      <c r="B19640" s="1"/>
    </row>
    <row r="19641" spans="2:2" x14ac:dyDescent="0.25">
      <c r="B19641" s="1"/>
    </row>
    <row r="19642" spans="2:2" x14ac:dyDescent="0.25">
      <c r="B19642" s="1"/>
    </row>
    <row r="19643" spans="2:2" x14ac:dyDescent="0.25">
      <c r="B19643" s="1"/>
    </row>
    <row r="19644" spans="2:2" x14ac:dyDescent="0.25">
      <c r="B19644" s="1"/>
    </row>
    <row r="19645" spans="2:2" x14ac:dyDescent="0.25">
      <c r="B19645" s="1"/>
    </row>
    <row r="19646" spans="2:2" x14ac:dyDescent="0.25">
      <c r="B19646" s="1"/>
    </row>
    <row r="19647" spans="2:2" x14ac:dyDescent="0.25">
      <c r="B19647" s="1"/>
    </row>
    <row r="19648" spans="2:2" x14ac:dyDescent="0.25">
      <c r="B19648" s="1"/>
    </row>
    <row r="19649" spans="2:2" x14ac:dyDescent="0.25">
      <c r="B19649" s="1"/>
    </row>
    <row r="19650" spans="2:2" x14ac:dyDescent="0.25">
      <c r="B19650" s="1"/>
    </row>
    <row r="19651" spans="2:2" x14ac:dyDescent="0.25">
      <c r="B19651" s="1"/>
    </row>
    <row r="19652" spans="2:2" x14ac:dyDescent="0.25">
      <c r="B19652" s="1"/>
    </row>
    <row r="19653" spans="2:2" x14ac:dyDescent="0.25">
      <c r="B19653" s="1"/>
    </row>
    <row r="19654" spans="2:2" x14ac:dyDescent="0.25">
      <c r="B19654" s="1"/>
    </row>
    <row r="19655" spans="2:2" x14ac:dyDescent="0.25">
      <c r="B19655" s="1"/>
    </row>
    <row r="19656" spans="2:2" x14ac:dyDescent="0.25">
      <c r="B19656" s="1"/>
    </row>
    <row r="19657" spans="2:2" x14ac:dyDescent="0.25">
      <c r="B19657" s="1"/>
    </row>
    <row r="19658" spans="2:2" x14ac:dyDescent="0.25">
      <c r="B19658" s="1"/>
    </row>
    <row r="19659" spans="2:2" x14ac:dyDescent="0.25">
      <c r="B19659" s="1"/>
    </row>
    <row r="19660" spans="2:2" x14ac:dyDescent="0.25">
      <c r="B19660" s="1"/>
    </row>
    <row r="19661" spans="2:2" x14ac:dyDescent="0.25">
      <c r="B19661" s="1"/>
    </row>
    <row r="19662" spans="2:2" x14ac:dyDescent="0.25">
      <c r="B19662" s="1"/>
    </row>
    <row r="19663" spans="2:2" x14ac:dyDescent="0.25">
      <c r="B19663" s="1"/>
    </row>
    <row r="19664" spans="2:2" x14ac:dyDescent="0.25">
      <c r="B19664" s="1"/>
    </row>
    <row r="19665" spans="2:2" x14ac:dyDescent="0.25">
      <c r="B19665" s="1"/>
    </row>
    <row r="19666" spans="2:2" x14ac:dyDescent="0.25">
      <c r="B19666" s="1"/>
    </row>
    <row r="19667" spans="2:2" x14ac:dyDescent="0.25">
      <c r="B19667" s="1"/>
    </row>
    <row r="19668" spans="2:2" x14ac:dyDescent="0.25">
      <c r="B19668" s="1"/>
    </row>
    <row r="19669" spans="2:2" x14ac:dyDescent="0.25">
      <c r="B19669" s="1"/>
    </row>
    <row r="19670" spans="2:2" x14ac:dyDescent="0.25">
      <c r="B19670" s="1"/>
    </row>
    <row r="19671" spans="2:2" x14ac:dyDescent="0.25">
      <c r="B19671" s="1"/>
    </row>
    <row r="19672" spans="2:2" x14ac:dyDescent="0.25">
      <c r="B19672" s="1"/>
    </row>
    <row r="19673" spans="2:2" x14ac:dyDescent="0.25">
      <c r="B19673" s="1"/>
    </row>
    <row r="19674" spans="2:2" x14ac:dyDescent="0.25">
      <c r="B19674" s="1"/>
    </row>
    <row r="19675" spans="2:2" x14ac:dyDescent="0.25">
      <c r="B19675" s="1"/>
    </row>
    <row r="19676" spans="2:2" x14ac:dyDescent="0.25">
      <c r="B19676" s="1"/>
    </row>
    <row r="19677" spans="2:2" x14ac:dyDescent="0.25">
      <c r="B19677" s="1"/>
    </row>
    <row r="19678" spans="2:2" x14ac:dyDescent="0.25">
      <c r="B19678" s="1"/>
    </row>
    <row r="19679" spans="2:2" x14ac:dyDescent="0.25">
      <c r="B19679" s="1"/>
    </row>
    <row r="19680" spans="2:2" x14ac:dyDescent="0.25">
      <c r="B19680" s="1"/>
    </row>
    <row r="19681" spans="2:2" x14ac:dyDescent="0.25">
      <c r="B19681" s="1"/>
    </row>
    <row r="19682" spans="2:2" x14ac:dyDescent="0.25">
      <c r="B19682" s="1"/>
    </row>
    <row r="19683" spans="2:2" x14ac:dyDescent="0.25">
      <c r="B19683" s="1"/>
    </row>
    <row r="19684" spans="2:2" x14ac:dyDescent="0.25">
      <c r="B19684" s="1"/>
    </row>
    <row r="19685" spans="2:2" x14ac:dyDescent="0.25">
      <c r="B19685" s="1"/>
    </row>
    <row r="19686" spans="2:2" x14ac:dyDescent="0.25">
      <c r="B19686" s="1"/>
    </row>
    <row r="19687" spans="2:2" x14ac:dyDescent="0.25">
      <c r="B19687" s="1"/>
    </row>
    <row r="19688" spans="2:2" x14ac:dyDescent="0.25">
      <c r="B19688" s="1"/>
    </row>
    <row r="19689" spans="2:2" x14ac:dyDescent="0.25">
      <c r="B19689" s="1"/>
    </row>
    <row r="19690" spans="2:2" x14ac:dyDescent="0.25">
      <c r="B19690" s="1"/>
    </row>
    <row r="19691" spans="2:2" x14ac:dyDescent="0.25">
      <c r="B19691" s="1"/>
    </row>
    <row r="19692" spans="2:2" x14ac:dyDescent="0.25">
      <c r="B19692" s="1"/>
    </row>
    <row r="19693" spans="2:2" x14ac:dyDescent="0.25">
      <c r="B19693" s="1"/>
    </row>
    <row r="19694" spans="2:2" x14ac:dyDescent="0.25">
      <c r="B19694" s="1"/>
    </row>
    <row r="19695" spans="2:2" x14ac:dyDescent="0.25">
      <c r="B19695" s="1"/>
    </row>
    <row r="19696" spans="2:2" x14ac:dyDescent="0.25">
      <c r="B19696" s="1"/>
    </row>
    <row r="19697" spans="2:2" x14ac:dyDescent="0.25">
      <c r="B19697" s="1"/>
    </row>
    <row r="19698" spans="2:2" x14ac:dyDescent="0.25">
      <c r="B19698" s="1"/>
    </row>
    <row r="19699" spans="2:2" x14ac:dyDescent="0.25">
      <c r="B19699" s="1"/>
    </row>
    <row r="19700" spans="2:2" x14ac:dyDescent="0.25">
      <c r="B19700" s="1"/>
    </row>
    <row r="19701" spans="2:2" x14ac:dyDescent="0.25">
      <c r="B19701" s="1"/>
    </row>
    <row r="19702" spans="2:2" x14ac:dyDescent="0.25">
      <c r="B19702" s="1"/>
    </row>
    <row r="19703" spans="2:2" x14ac:dyDescent="0.25">
      <c r="B19703" s="1"/>
    </row>
    <row r="19704" spans="2:2" x14ac:dyDescent="0.25">
      <c r="B19704" s="1"/>
    </row>
    <row r="19705" spans="2:2" x14ac:dyDescent="0.25">
      <c r="B19705" s="1"/>
    </row>
    <row r="19706" spans="2:2" x14ac:dyDescent="0.25">
      <c r="B19706" s="1"/>
    </row>
    <row r="19707" spans="2:2" x14ac:dyDescent="0.25">
      <c r="B19707" s="1"/>
    </row>
    <row r="19708" spans="2:2" x14ac:dyDescent="0.25">
      <c r="B19708" s="1"/>
    </row>
    <row r="19709" spans="2:2" x14ac:dyDescent="0.25">
      <c r="B19709" s="1"/>
    </row>
    <row r="19710" spans="2:2" x14ac:dyDescent="0.25">
      <c r="B19710" s="1"/>
    </row>
    <row r="19711" spans="2:2" x14ac:dyDescent="0.25">
      <c r="B19711" s="1"/>
    </row>
    <row r="19712" spans="2:2" x14ac:dyDescent="0.25">
      <c r="B19712" s="1"/>
    </row>
    <row r="19713" spans="2:2" x14ac:dyDescent="0.25">
      <c r="B19713" s="1"/>
    </row>
    <row r="19714" spans="2:2" x14ac:dyDescent="0.25">
      <c r="B19714" s="1"/>
    </row>
    <row r="19715" spans="2:2" x14ac:dyDescent="0.25">
      <c r="B19715" s="1"/>
    </row>
    <row r="19716" spans="2:2" x14ac:dyDescent="0.25">
      <c r="B19716" s="1"/>
    </row>
    <row r="19717" spans="2:2" x14ac:dyDescent="0.25">
      <c r="B19717" s="1"/>
    </row>
    <row r="19718" spans="2:2" x14ac:dyDescent="0.25">
      <c r="B19718" s="1"/>
    </row>
    <row r="19719" spans="2:2" x14ac:dyDescent="0.25">
      <c r="B19719" s="1"/>
    </row>
    <row r="19720" spans="2:2" x14ac:dyDescent="0.25">
      <c r="B19720" s="1"/>
    </row>
    <row r="19721" spans="2:2" x14ac:dyDescent="0.25">
      <c r="B19721" s="1"/>
    </row>
    <row r="19722" spans="2:2" x14ac:dyDescent="0.25">
      <c r="B19722" s="1"/>
    </row>
    <row r="19723" spans="2:2" x14ac:dyDescent="0.25">
      <c r="B19723" s="1"/>
    </row>
    <row r="19724" spans="2:2" x14ac:dyDescent="0.25">
      <c r="B19724" s="1"/>
    </row>
    <row r="19725" spans="2:2" x14ac:dyDescent="0.25">
      <c r="B19725" s="1"/>
    </row>
    <row r="19726" spans="2:2" x14ac:dyDescent="0.25">
      <c r="B19726" s="1"/>
    </row>
    <row r="19727" spans="2:2" x14ac:dyDescent="0.25">
      <c r="B19727" s="1"/>
    </row>
    <row r="19728" spans="2:2" x14ac:dyDescent="0.25">
      <c r="B19728" s="1"/>
    </row>
    <row r="19729" spans="2:2" x14ac:dyDescent="0.25">
      <c r="B19729" s="1"/>
    </row>
    <row r="19730" spans="2:2" x14ac:dyDescent="0.25">
      <c r="B19730" s="1"/>
    </row>
    <row r="19731" spans="2:2" x14ac:dyDescent="0.25">
      <c r="B19731" s="1"/>
    </row>
    <row r="19732" spans="2:2" x14ac:dyDescent="0.25">
      <c r="B19732" s="1"/>
    </row>
    <row r="19733" spans="2:2" x14ac:dyDescent="0.25">
      <c r="B19733" s="1"/>
    </row>
    <row r="19734" spans="2:2" x14ac:dyDescent="0.25">
      <c r="B19734" s="1"/>
    </row>
    <row r="19735" spans="2:2" x14ac:dyDescent="0.25">
      <c r="B19735" s="1"/>
    </row>
    <row r="19736" spans="2:2" x14ac:dyDescent="0.25">
      <c r="B19736" s="1"/>
    </row>
    <row r="19737" spans="2:2" x14ac:dyDescent="0.25">
      <c r="B19737" s="1"/>
    </row>
    <row r="19738" spans="2:2" x14ac:dyDescent="0.25">
      <c r="B19738" s="1"/>
    </row>
    <row r="19739" spans="2:2" x14ac:dyDescent="0.25">
      <c r="B19739" s="1"/>
    </row>
    <row r="19740" spans="2:2" x14ac:dyDescent="0.25">
      <c r="B19740" s="1"/>
    </row>
    <row r="19741" spans="2:2" x14ac:dyDescent="0.25">
      <c r="B19741" s="1"/>
    </row>
    <row r="19742" spans="2:2" x14ac:dyDescent="0.25">
      <c r="B19742" s="1"/>
    </row>
    <row r="19743" spans="2:2" x14ac:dyDescent="0.25">
      <c r="B19743" s="1"/>
    </row>
    <row r="19744" spans="2:2" x14ac:dyDescent="0.25">
      <c r="B19744" s="1"/>
    </row>
    <row r="19745" spans="2:2" x14ac:dyDescent="0.25">
      <c r="B19745" s="1"/>
    </row>
    <row r="19746" spans="2:2" x14ac:dyDescent="0.25">
      <c r="B19746" s="1"/>
    </row>
    <row r="19747" spans="2:2" x14ac:dyDescent="0.25">
      <c r="B19747" s="1"/>
    </row>
    <row r="19748" spans="2:2" x14ac:dyDescent="0.25">
      <c r="B19748" s="1"/>
    </row>
    <row r="19749" spans="2:2" x14ac:dyDescent="0.25">
      <c r="B19749" s="1"/>
    </row>
    <row r="19750" spans="2:2" x14ac:dyDescent="0.25">
      <c r="B19750" s="1"/>
    </row>
    <row r="19751" spans="2:2" x14ac:dyDescent="0.25">
      <c r="B19751" s="1"/>
    </row>
    <row r="19752" spans="2:2" x14ac:dyDescent="0.25">
      <c r="B19752" s="1"/>
    </row>
    <row r="19753" spans="2:2" x14ac:dyDescent="0.25">
      <c r="B19753" s="1"/>
    </row>
    <row r="19754" spans="2:2" x14ac:dyDescent="0.25">
      <c r="B19754" s="1"/>
    </row>
    <row r="19755" spans="2:2" x14ac:dyDescent="0.25">
      <c r="B19755" s="1"/>
    </row>
    <row r="19756" spans="2:2" x14ac:dyDescent="0.25">
      <c r="B19756" s="1"/>
    </row>
    <row r="19757" spans="2:2" x14ac:dyDescent="0.25">
      <c r="B19757" s="1"/>
    </row>
    <row r="19758" spans="2:2" x14ac:dyDescent="0.25">
      <c r="B19758" s="1"/>
    </row>
    <row r="19759" spans="2:2" x14ac:dyDescent="0.25">
      <c r="B19759" s="1"/>
    </row>
    <row r="19760" spans="2:2" x14ac:dyDescent="0.25">
      <c r="B19760" s="1"/>
    </row>
    <row r="19761" spans="2:2" x14ac:dyDescent="0.25">
      <c r="B19761" s="1"/>
    </row>
    <row r="19762" spans="2:2" x14ac:dyDescent="0.25">
      <c r="B19762" s="1"/>
    </row>
    <row r="19763" spans="2:2" x14ac:dyDescent="0.25">
      <c r="B19763" s="1"/>
    </row>
    <row r="19764" spans="2:2" x14ac:dyDescent="0.25">
      <c r="B19764" s="1"/>
    </row>
    <row r="19765" spans="2:2" x14ac:dyDescent="0.25">
      <c r="B19765" s="1"/>
    </row>
    <row r="19766" spans="2:2" x14ac:dyDescent="0.25">
      <c r="B19766" s="1"/>
    </row>
    <row r="19767" spans="2:2" x14ac:dyDescent="0.25">
      <c r="B19767" s="1"/>
    </row>
    <row r="19768" spans="2:2" x14ac:dyDescent="0.25">
      <c r="B19768" s="1"/>
    </row>
    <row r="19769" spans="2:2" x14ac:dyDescent="0.25">
      <c r="B19769" s="1"/>
    </row>
    <row r="19770" spans="2:2" x14ac:dyDescent="0.25">
      <c r="B19770" s="1"/>
    </row>
    <row r="19771" spans="2:2" x14ac:dyDescent="0.25">
      <c r="B19771" s="1"/>
    </row>
    <row r="19772" spans="2:2" x14ac:dyDescent="0.25">
      <c r="B19772" s="1"/>
    </row>
    <row r="19773" spans="2:2" x14ac:dyDescent="0.25">
      <c r="B19773" s="1"/>
    </row>
    <row r="19774" spans="2:2" x14ac:dyDescent="0.25">
      <c r="B19774" s="1"/>
    </row>
    <row r="19775" spans="2:2" x14ac:dyDescent="0.25">
      <c r="B19775" s="1"/>
    </row>
    <row r="19776" spans="2:2" x14ac:dyDescent="0.25">
      <c r="B19776" s="1"/>
    </row>
    <row r="19777" spans="2:2" x14ac:dyDescent="0.25">
      <c r="B19777" s="1"/>
    </row>
    <row r="19778" spans="2:2" x14ac:dyDescent="0.25">
      <c r="B19778" s="1"/>
    </row>
    <row r="19779" spans="2:2" x14ac:dyDescent="0.25">
      <c r="B19779" s="1"/>
    </row>
    <row r="19780" spans="2:2" x14ac:dyDescent="0.25">
      <c r="B19780" s="1"/>
    </row>
    <row r="19781" spans="2:2" x14ac:dyDescent="0.25">
      <c r="B19781" s="1"/>
    </row>
    <row r="19782" spans="2:2" x14ac:dyDescent="0.25">
      <c r="B19782" s="1"/>
    </row>
    <row r="19783" spans="2:2" x14ac:dyDescent="0.25">
      <c r="B19783" s="1"/>
    </row>
    <row r="19784" spans="2:2" x14ac:dyDescent="0.25">
      <c r="B19784" s="1"/>
    </row>
    <row r="19785" spans="2:2" x14ac:dyDescent="0.25">
      <c r="B19785" s="1"/>
    </row>
    <row r="19786" spans="2:2" x14ac:dyDescent="0.25">
      <c r="B19786" s="1"/>
    </row>
    <row r="19787" spans="2:2" x14ac:dyDescent="0.25">
      <c r="B19787" s="1"/>
    </row>
    <row r="19788" spans="2:2" x14ac:dyDescent="0.25">
      <c r="B19788" s="1"/>
    </row>
    <row r="19789" spans="2:2" x14ac:dyDescent="0.25">
      <c r="B19789" s="1"/>
    </row>
    <row r="19790" spans="2:2" x14ac:dyDescent="0.25">
      <c r="B19790" s="1"/>
    </row>
    <row r="19791" spans="2:2" x14ac:dyDescent="0.25">
      <c r="B19791" s="1"/>
    </row>
    <row r="19792" spans="2:2" x14ac:dyDescent="0.25">
      <c r="B19792" s="1"/>
    </row>
    <row r="19793" spans="2:2" x14ac:dyDescent="0.25">
      <c r="B19793" s="1"/>
    </row>
    <row r="19794" spans="2:2" x14ac:dyDescent="0.25">
      <c r="B19794" s="1"/>
    </row>
    <row r="19795" spans="2:2" x14ac:dyDescent="0.25">
      <c r="B19795" s="1"/>
    </row>
    <row r="19796" spans="2:2" x14ac:dyDescent="0.25">
      <c r="B19796" s="1"/>
    </row>
    <row r="19797" spans="2:2" x14ac:dyDescent="0.25">
      <c r="B19797" s="1"/>
    </row>
    <row r="19798" spans="2:2" x14ac:dyDescent="0.25">
      <c r="B19798" s="1"/>
    </row>
    <row r="19799" spans="2:2" x14ac:dyDescent="0.25">
      <c r="B19799" s="1"/>
    </row>
    <row r="19800" spans="2:2" x14ac:dyDescent="0.25">
      <c r="B19800" s="1"/>
    </row>
    <row r="19801" spans="2:2" x14ac:dyDescent="0.25">
      <c r="B19801" s="1"/>
    </row>
    <row r="19802" spans="2:2" x14ac:dyDescent="0.25">
      <c r="B19802" s="1"/>
    </row>
    <row r="19803" spans="2:2" x14ac:dyDescent="0.25">
      <c r="B19803" s="1"/>
    </row>
    <row r="19804" spans="2:2" x14ac:dyDescent="0.25">
      <c r="B19804" s="1"/>
    </row>
    <row r="19805" spans="2:2" x14ac:dyDescent="0.25">
      <c r="B19805" s="1"/>
    </row>
    <row r="19806" spans="2:2" x14ac:dyDescent="0.25">
      <c r="B19806" s="1"/>
    </row>
    <row r="19807" spans="2:2" x14ac:dyDescent="0.25">
      <c r="B19807" s="1"/>
    </row>
    <row r="19808" spans="2:2" x14ac:dyDescent="0.25">
      <c r="B19808" s="1"/>
    </row>
    <row r="19809" spans="2:2" x14ac:dyDescent="0.25">
      <c r="B19809" s="1"/>
    </row>
    <row r="19810" spans="2:2" x14ac:dyDescent="0.25">
      <c r="B19810" s="1"/>
    </row>
    <row r="19811" spans="2:2" x14ac:dyDescent="0.25">
      <c r="B19811" s="1"/>
    </row>
    <row r="19812" spans="2:2" x14ac:dyDescent="0.25">
      <c r="B19812" s="1"/>
    </row>
    <row r="19813" spans="2:2" x14ac:dyDescent="0.25">
      <c r="B19813" s="1"/>
    </row>
    <row r="19814" spans="2:2" x14ac:dyDescent="0.25">
      <c r="B19814" s="1"/>
    </row>
    <row r="19815" spans="2:2" x14ac:dyDescent="0.25">
      <c r="B19815" s="1"/>
    </row>
    <row r="19816" spans="2:2" x14ac:dyDescent="0.25">
      <c r="B19816" s="1"/>
    </row>
    <row r="19817" spans="2:2" x14ac:dyDescent="0.25">
      <c r="B19817" s="1"/>
    </row>
    <row r="19818" spans="2:2" x14ac:dyDescent="0.25">
      <c r="B19818" s="1"/>
    </row>
    <row r="19819" spans="2:2" x14ac:dyDescent="0.25">
      <c r="B19819" s="1"/>
    </row>
    <row r="19820" spans="2:2" x14ac:dyDescent="0.25">
      <c r="B19820" s="1"/>
    </row>
    <row r="19821" spans="2:2" x14ac:dyDescent="0.25">
      <c r="B19821" s="1"/>
    </row>
    <row r="19822" spans="2:2" x14ac:dyDescent="0.25">
      <c r="B19822" s="1"/>
    </row>
    <row r="19823" spans="2:2" x14ac:dyDescent="0.25">
      <c r="B19823" s="1"/>
    </row>
    <row r="19824" spans="2:2" x14ac:dyDescent="0.25">
      <c r="B19824" s="1"/>
    </row>
    <row r="19825" spans="2:2" x14ac:dyDescent="0.25">
      <c r="B19825" s="1"/>
    </row>
    <row r="19826" spans="2:2" x14ac:dyDescent="0.25">
      <c r="B19826" s="1"/>
    </row>
    <row r="19827" spans="2:2" x14ac:dyDescent="0.25">
      <c r="B19827" s="1"/>
    </row>
    <row r="19828" spans="2:2" x14ac:dyDescent="0.25">
      <c r="B19828" s="1"/>
    </row>
    <row r="19829" spans="2:2" x14ac:dyDescent="0.25">
      <c r="B19829" s="1"/>
    </row>
    <row r="19830" spans="2:2" x14ac:dyDescent="0.25">
      <c r="B19830" s="1"/>
    </row>
    <row r="19831" spans="2:2" x14ac:dyDescent="0.25">
      <c r="B19831" s="1"/>
    </row>
    <row r="19832" spans="2:2" x14ac:dyDescent="0.25">
      <c r="B19832" s="1"/>
    </row>
    <row r="19833" spans="2:2" x14ac:dyDescent="0.25">
      <c r="B19833" s="1"/>
    </row>
    <row r="19834" spans="2:2" x14ac:dyDescent="0.25">
      <c r="B19834" s="1"/>
    </row>
    <row r="19835" spans="2:2" x14ac:dyDescent="0.25">
      <c r="B19835" s="1"/>
    </row>
    <row r="19836" spans="2:2" x14ac:dyDescent="0.25">
      <c r="B19836" s="1"/>
    </row>
    <row r="19837" spans="2:2" x14ac:dyDescent="0.25">
      <c r="B19837" s="1"/>
    </row>
    <row r="19838" spans="2:2" x14ac:dyDescent="0.25">
      <c r="B19838" s="1"/>
    </row>
    <row r="19839" spans="2:2" x14ac:dyDescent="0.25">
      <c r="B19839" s="1"/>
    </row>
    <row r="19840" spans="2:2" x14ac:dyDescent="0.25">
      <c r="B19840" s="1"/>
    </row>
    <row r="19841" spans="2:2" x14ac:dyDescent="0.25">
      <c r="B19841" s="1"/>
    </row>
    <row r="19842" spans="2:2" x14ac:dyDescent="0.25">
      <c r="B19842" s="1"/>
    </row>
    <row r="19843" spans="2:2" x14ac:dyDescent="0.25">
      <c r="B19843" s="1"/>
    </row>
    <row r="19844" spans="2:2" x14ac:dyDescent="0.25">
      <c r="B19844" s="1"/>
    </row>
    <row r="19845" spans="2:2" x14ac:dyDescent="0.25">
      <c r="B19845" s="1"/>
    </row>
    <row r="19846" spans="2:2" x14ac:dyDescent="0.25">
      <c r="B19846" s="1"/>
    </row>
    <row r="19847" spans="2:2" x14ac:dyDescent="0.25">
      <c r="B19847" s="1"/>
    </row>
    <row r="19848" spans="2:2" x14ac:dyDescent="0.25">
      <c r="B19848" s="1"/>
    </row>
    <row r="19849" spans="2:2" x14ac:dyDescent="0.25">
      <c r="B19849" s="1"/>
    </row>
    <row r="19850" spans="2:2" x14ac:dyDescent="0.25">
      <c r="B19850" s="1"/>
    </row>
    <row r="19851" spans="2:2" x14ac:dyDescent="0.25">
      <c r="B19851" s="1"/>
    </row>
    <row r="19852" spans="2:2" x14ac:dyDescent="0.25">
      <c r="B19852" s="1"/>
    </row>
    <row r="19853" spans="2:2" x14ac:dyDescent="0.25">
      <c r="B19853" s="1"/>
    </row>
    <row r="19854" spans="2:2" x14ac:dyDescent="0.25">
      <c r="B19854" s="1"/>
    </row>
    <row r="19855" spans="2:2" x14ac:dyDescent="0.25">
      <c r="B19855" s="1"/>
    </row>
    <row r="19856" spans="2:2" x14ac:dyDescent="0.25">
      <c r="B19856" s="1"/>
    </row>
    <row r="19857" spans="2:2" x14ac:dyDescent="0.25">
      <c r="B19857" s="1"/>
    </row>
    <row r="19858" spans="2:2" x14ac:dyDescent="0.25">
      <c r="B19858" s="1"/>
    </row>
    <row r="19859" spans="2:2" x14ac:dyDescent="0.25">
      <c r="B19859" s="1"/>
    </row>
    <row r="19860" spans="2:2" x14ac:dyDescent="0.25">
      <c r="B19860" s="1"/>
    </row>
    <row r="19861" spans="2:2" x14ac:dyDescent="0.25">
      <c r="B19861" s="1"/>
    </row>
    <row r="19862" spans="2:2" x14ac:dyDescent="0.25">
      <c r="B19862" s="1"/>
    </row>
    <row r="19863" spans="2:2" x14ac:dyDescent="0.25">
      <c r="B19863" s="1"/>
    </row>
    <row r="19864" spans="2:2" x14ac:dyDescent="0.25">
      <c r="B19864" s="1"/>
    </row>
    <row r="19865" spans="2:2" x14ac:dyDescent="0.25">
      <c r="B19865" s="1"/>
    </row>
    <row r="19866" spans="2:2" x14ac:dyDescent="0.25">
      <c r="B19866" s="1"/>
    </row>
    <row r="19867" spans="2:2" x14ac:dyDescent="0.25">
      <c r="B19867" s="1"/>
    </row>
    <row r="19868" spans="2:2" x14ac:dyDescent="0.25">
      <c r="B19868" s="1"/>
    </row>
    <row r="19869" spans="2:2" x14ac:dyDescent="0.25">
      <c r="B19869" s="1"/>
    </row>
    <row r="19870" spans="2:2" x14ac:dyDescent="0.25">
      <c r="B19870" s="1"/>
    </row>
    <row r="19871" spans="2:2" x14ac:dyDescent="0.25">
      <c r="B19871" s="1"/>
    </row>
    <row r="19872" spans="2:2" x14ac:dyDescent="0.25">
      <c r="B19872" s="1"/>
    </row>
    <row r="19873" spans="2:2" x14ac:dyDescent="0.25">
      <c r="B19873" s="1"/>
    </row>
    <row r="19874" spans="2:2" x14ac:dyDescent="0.25">
      <c r="B19874" s="1"/>
    </row>
    <row r="19875" spans="2:2" x14ac:dyDescent="0.25">
      <c r="B19875" s="1"/>
    </row>
    <row r="19876" spans="2:2" x14ac:dyDescent="0.25">
      <c r="B19876" s="1"/>
    </row>
    <row r="19877" spans="2:2" x14ac:dyDescent="0.25">
      <c r="B19877" s="1"/>
    </row>
    <row r="19878" spans="2:2" x14ac:dyDescent="0.25">
      <c r="B19878" s="1"/>
    </row>
    <row r="19879" spans="2:2" x14ac:dyDescent="0.25">
      <c r="B19879" s="1"/>
    </row>
    <row r="19880" spans="2:2" x14ac:dyDescent="0.25">
      <c r="B19880" s="1"/>
    </row>
    <row r="19881" spans="2:2" x14ac:dyDescent="0.25">
      <c r="B19881" s="1"/>
    </row>
    <row r="19882" spans="2:2" x14ac:dyDescent="0.25">
      <c r="B19882" s="1"/>
    </row>
    <row r="19883" spans="2:2" x14ac:dyDescent="0.25">
      <c r="B19883" s="1"/>
    </row>
    <row r="19884" spans="2:2" x14ac:dyDescent="0.25">
      <c r="B19884" s="1"/>
    </row>
    <row r="19885" spans="2:2" x14ac:dyDescent="0.25">
      <c r="B19885" s="1"/>
    </row>
    <row r="19886" spans="2:2" x14ac:dyDescent="0.25">
      <c r="B19886" s="1"/>
    </row>
    <row r="19887" spans="2:2" x14ac:dyDescent="0.25">
      <c r="B19887" s="1"/>
    </row>
    <row r="19888" spans="2:2" x14ac:dyDescent="0.25">
      <c r="B19888" s="1"/>
    </row>
    <row r="19889" spans="2:2" x14ac:dyDescent="0.25">
      <c r="B19889" s="1"/>
    </row>
    <row r="19890" spans="2:2" x14ac:dyDescent="0.25">
      <c r="B19890" s="1"/>
    </row>
    <row r="19891" spans="2:2" x14ac:dyDescent="0.25">
      <c r="B19891" s="1"/>
    </row>
    <row r="19892" spans="2:2" x14ac:dyDescent="0.25">
      <c r="B19892" s="1"/>
    </row>
    <row r="19893" spans="2:2" x14ac:dyDescent="0.25">
      <c r="B19893" s="1"/>
    </row>
    <row r="19894" spans="2:2" x14ac:dyDescent="0.25">
      <c r="B19894" s="1"/>
    </row>
    <row r="19895" spans="2:2" x14ac:dyDescent="0.25">
      <c r="B19895" s="1"/>
    </row>
    <row r="19896" spans="2:2" x14ac:dyDescent="0.25">
      <c r="B19896" s="1"/>
    </row>
    <row r="19897" spans="2:2" x14ac:dyDescent="0.25">
      <c r="B19897" s="1"/>
    </row>
    <row r="19898" spans="2:2" x14ac:dyDescent="0.25">
      <c r="B19898" s="1"/>
    </row>
    <row r="19899" spans="2:2" x14ac:dyDescent="0.25">
      <c r="B19899" s="1"/>
    </row>
    <row r="19900" spans="2:2" x14ac:dyDescent="0.25">
      <c r="B19900" s="1"/>
    </row>
    <row r="19901" spans="2:2" x14ac:dyDescent="0.25">
      <c r="B19901" s="1"/>
    </row>
    <row r="19902" spans="2:2" x14ac:dyDescent="0.25">
      <c r="B19902" s="1"/>
    </row>
    <row r="19903" spans="2:2" x14ac:dyDescent="0.25">
      <c r="B19903" s="1"/>
    </row>
    <row r="19904" spans="2:2" x14ac:dyDescent="0.25">
      <c r="B19904" s="1"/>
    </row>
    <row r="19905" spans="2:2" x14ac:dyDescent="0.25">
      <c r="B19905" s="1"/>
    </row>
    <row r="19906" spans="2:2" x14ac:dyDescent="0.25">
      <c r="B19906" s="1"/>
    </row>
    <row r="19907" spans="2:2" x14ac:dyDescent="0.25">
      <c r="B19907" s="1"/>
    </row>
    <row r="19908" spans="2:2" x14ac:dyDescent="0.25">
      <c r="B19908" s="1"/>
    </row>
    <row r="19909" spans="2:2" x14ac:dyDescent="0.25">
      <c r="B19909" s="1"/>
    </row>
    <row r="19910" spans="2:2" x14ac:dyDescent="0.25">
      <c r="B19910" s="1"/>
    </row>
    <row r="19911" spans="2:2" x14ac:dyDescent="0.25">
      <c r="B19911" s="1"/>
    </row>
    <row r="19912" spans="2:2" x14ac:dyDescent="0.25">
      <c r="B19912" s="1"/>
    </row>
    <row r="19913" spans="2:2" x14ac:dyDescent="0.25">
      <c r="B19913" s="1"/>
    </row>
    <row r="19914" spans="2:2" x14ac:dyDescent="0.25">
      <c r="B19914" s="1"/>
    </row>
    <row r="19915" spans="2:2" x14ac:dyDescent="0.25">
      <c r="B19915" s="1"/>
    </row>
    <row r="19916" spans="2:2" x14ac:dyDescent="0.25">
      <c r="B19916" s="1"/>
    </row>
    <row r="19917" spans="2:2" x14ac:dyDescent="0.25">
      <c r="B19917" s="1"/>
    </row>
    <row r="19918" spans="2:2" x14ac:dyDescent="0.25">
      <c r="B19918" s="1"/>
    </row>
    <row r="19919" spans="2:2" x14ac:dyDescent="0.25">
      <c r="B19919" s="1"/>
    </row>
    <row r="19920" spans="2:2" x14ac:dyDescent="0.25">
      <c r="B19920" s="1"/>
    </row>
    <row r="19921" spans="2:2" x14ac:dyDescent="0.25">
      <c r="B19921" s="1"/>
    </row>
    <row r="19922" spans="2:2" x14ac:dyDescent="0.25">
      <c r="B19922" s="1"/>
    </row>
    <row r="19923" spans="2:2" x14ac:dyDescent="0.25">
      <c r="B19923" s="1"/>
    </row>
    <row r="19924" spans="2:2" x14ac:dyDescent="0.25">
      <c r="B19924" s="1"/>
    </row>
    <row r="19925" spans="2:2" x14ac:dyDescent="0.25">
      <c r="B19925" s="1"/>
    </row>
    <row r="19926" spans="2:2" x14ac:dyDescent="0.25">
      <c r="B19926" s="1"/>
    </row>
    <row r="19927" spans="2:2" x14ac:dyDescent="0.25">
      <c r="B19927" s="1"/>
    </row>
    <row r="19928" spans="2:2" x14ac:dyDescent="0.25">
      <c r="B19928" s="1"/>
    </row>
    <row r="19929" spans="2:2" x14ac:dyDescent="0.25">
      <c r="B19929" s="1"/>
    </row>
    <row r="19930" spans="2:2" x14ac:dyDescent="0.25">
      <c r="B19930" s="1"/>
    </row>
    <row r="19931" spans="2:2" x14ac:dyDescent="0.25">
      <c r="B19931" s="1"/>
    </row>
    <row r="19932" spans="2:2" x14ac:dyDescent="0.25">
      <c r="B19932" s="1"/>
    </row>
    <row r="19933" spans="2:2" x14ac:dyDescent="0.25">
      <c r="B19933" s="1"/>
    </row>
    <row r="19934" spans="2:2" x14ac:dyDescent="0.25">
      <c r="B19934" s="1"/>
    </row>
    <row r="19935" spans="2:2" x14ac:dyDescent="0.25">
      <c r="B19935" s="1"/>
    </row>
    <row r="19936" spans="2:2" x14ac:dyDescent="0.25">
      <c r="B19936" s="1"/>
    </row>
    <row r="19937" spans="2:2" x14ac:dyDescent="0.25">
      <c r="B19937" s="1"/>
    </row>
    <row r="19938" spans="2:2" x14ac:dyDescent="0.25">
      <c r="B19938" s="1"/>
    </row>
    <row r="19939" spans="2:2" x14ac:dyDescent="0.25">
      <c r="B19939" s="1"/>
    </row>
    <row r="19940" spans="2:2" x14ac:dyDescent="0.25">
      <c r="B19940" s="1"/>
    </row>
    <row r="19941" spans="2:2" x14ac:dyDescent="0.25">
      <c r="B19941" s="1"/>
    </row>
    <row r="19942" spans="2:2" x14ac:dyDescent="0.25">
      <c r="B19942" s="1"/>
    </row>
    <row r="19943" spans="2:2" x14ac:dyDescent="0.25">
      <c r="B19943" s="1"/>
    </row>
    <row r="19944" spans="2:2" x14ac:dyDescent="0.25">
      <c r="B19944" s="1"/>
    </row>
    <row r="19945" spans="2:2" x14ac:dyDescent="0.25">
      <c r="B19945" s="1"/>
    </row>
    <row r="19946" spans="2:2" x14ac:dyDescent="0.25">
      <c r="B19946" s="1"/>
    </row>
    <row r="19947" spans="2:2" x14ac:dyDescent="0.25">
      <c r="B19947" s="1"/>
    </row>
    <row r="19948" spans="2:2" x14ac:dyDescent="0.25">
      <c r="B19948" s="1"/>
    </row>
    <row r="19949" spans="2:2" x14ac:dyDescent="0.25">
      <c r="B19949" s="1"/>
    </row>
    <row r="19950" spans="2:2" x14ac:dyDescent="0.25">
      <c r="B19950" s="1"/>
    </row>
    <row r="19951" spans="2:2" x14ac:dyDescent="0.25">
      <c r="B19951" s="1"/>
    </row>
    <row r="19952" spans="2:2" x14ac:dyDescent="0.25">
      <c r="B19952" s="1"/>
    </row>
    <row r="19953" spans="2:2" x14ac:dyDescent="0.25">
      <c r="B19953" s="1"/>
    </row>
    <row r="19954" spans="2:2" x14ac:dyDescent="0.25">
      <c r="B19954" s="1"/>
    </row>
    <row r="19955" spans="2:2" x14ac:dyDescent="0.25">
      <c r="B19955" s="1"/>
    </row>
    <row r="19956" spans="2:2" x14ac:dyDescent="0.25">
      <c r="B19956" s="1"/>
    </row>
    <row r="19957" spans="2:2" x14ac:dyDescent="0.25">
      <c r="B19957" s="1"/>
    </row>
    <row r="19958" spans="2:2" x14ac:dyDescent="0.25">
      <c r="B19958" s="1"/>
    </row>
    <row r="19959" spans="2:2" x14ac:dyDescent="0.25">
      <c r="B19959" s="1"/>
    </row>
    <row r="19960" spans="2:2" x14ac:dyDescent="0.25">
      <c r="B19960" s="1"/>
    </row>
    <row r="19961" spans="2:2" x14ac:dyDescent="0.25">
      <c r="B19961" s="1"/>
    </row>
    <row r="19962" spans="2:2" x14ac:dyDescent="0.25">
      <c r="B19962" s="1"/>
    </row>
    <row r="19963" spans="2:2" x14ac:dyDescent="0.25">
      <c r="B19963" s="1"/>
    </row>
    <row r="19964" spans="2:2" x14ac:dyDescent="0.25">
      <c r="B19964" s="1"/>
    </row>
    <row r="19965" spans="2:2" x14ac:dyDescent="0.25">
      <c r="B19965" s="1"/>
    </row>
    <row r="19966" spans="2:2" x14ac:dyDescent="0.25">
      <c r="B19966" s="1"/>
    </row>
    <row r="19967" spans="2:2" x14ac:dyDescent="0.25">
      <c r="B19967" s="1"/>
    </row>
    <row r="19968" spans="2:2" x14ac:dyDescent="0.25">
      <c r="B19968" s="1"/>
    </row>
    <row r="19969" spans="2:2" x14ac:dyDescent="0.25">
      <c r="B19969" s="1"/>
    </row>
    <row r="19970" spans="2:2" x14ac:dyDescent="0.25">
      <c r="B19970" s="1"/>
    </row>
    <row r="19971" spans="2:2" x14ac:dyDescent="0.25">
      <c r="B19971" s="1"/>
    </row>
    <row r="19972" spans="2:2" x14ac:dyDescent="0.25">
      <c r="B19972" s="1"/>
    </row>
    <row r="19973" spans="2:2" x14ac:dyDescent="0.25">
      <c r="B19973" s="1"/>
    </row>
    <row r="19974" spans="2:2" x14ac:dyDescent="0.25">
      <c r="B19974" s="1"/>
    </row>
    <row r="19975" spans="2:2" x14ac:dyDescent="0.25">
      <c r="B19975" s="1"/>
    </row>
    <row r="19976" spans="2:2" x14ac:dyDescent="0.25">
      <c r="B19976" s="1"/>
    </row>
    <row r="19977" spans="2:2" x14ac:dyDescent="0.25">
      <c r="B19977" s="1"/>
    </row>
    <row r="19978" spans="2:2" x14ac:dyDescent="0.25">
      <c r="B19978" s="1"/>
    </row>
    <row r="19979" spans="2:2" x14ac:dyDescent="0.25">
      <c r="B19979" s="1"/>
    </row>
    <row r="19980" spans="2:2" x14ac:dyDescent="0.25">
      <c r="B19980" s="1"/>
    </row>
    <row r="19981" spans="2:2" x14ac:dyDescent="0.25">
      <c r="B19981" s="1"/>
    </row>
    <row r="19982" spans="2:2" x14ac:dyDescent="0.25">
      <c r="B19982" s="1"/>
    </row>
    <row r="19983" spans="2:2" x14ac:dyDescent="0.25">
      <c r="B19983" s="1"/>
    </row>
    <row r="19984" spans="2:2" x14ac:dyDescent="0.25">
      <c r="B19984" s="1"/>
    </row>
    <row r="19985" spans="2:2" x14ac:dyDescent="0.25">
      <c r="B19985" s="1"/>
    </row>
    <row r="19986" spans="2:2" x14ac:dyDescent="0.25">
      <c r="B19986" s="1"/>
    </row>
    <row r="19987" spans="2:2" x14ac:dyDescent="0.25">
      <c r="B19987" s="1"/>
    </row>
    <row r="19988" spans="2:2" x14ac:dyDescent="0.25">
      <c r="B19988" s="1"/>
    </row>
    <row r="19989" spans="2:2" x14ac:dyDescent="0.25">
      <c r="B19989" s="1"/>
    </row>
    <row r="19990" spans="2:2" x14ac:dyDescent="0.25">
      <c r="B19990" s="1"/>
    </row>
    <row r="19991" spans="2:2" x14ac:dyDescent="0.25">
      <c r="B19991" s="1"/>
    </row>
    <row r="19992" spans="2:2" x14ac:dyDescent="0.25">
      <c r="B19992" s="1"/>
    </row>
    <row r="19993" spans="2:2" x14ac:dyDescent="0.25">
      <c r="B19993" s="1"/>
    </row>
    <row r="19994" spans="2:2" x14ac:dyDescent="0.25">
      <c r="B19994" s="1"/>
    </row>
    <row r="19995" spans="2:2" x14ac:dyDescent="0.25">
      <c r="B19995" s="1"/>
    </row>
    <row r="19996" spans="2:2" x14ac:dyDescent="0.25">
      <c r="B19996" s="1"/>
    </row>
    <row r="19997" spans="2:2" x14ac:dyDescent="0.25">
      <c r="B19997" s="1"/>
    </row>
    <row r="19998" spans="2:2" x14ac:dyDescent="0.25">
      <c r="B19998" s="1"/>
    </row>
    <row r="19999" spans="2:2" x14ac:dyDescent="0.25">
      <c r="B19999" s="1"/>
    </row>
    <row r="20000" spans="2:2" x14ac:dyDescent="0.25">
      <c r="B20000" s="1"/>
    </row>
    <row r="20001" spans="2:2" x14ac:dyDescent="0.25">
      <c r="B20001" s="1"/>
    </row>
    <row r="20002" spans="2:2" x14ac:dyDescent="0.25">
      <c r="B20002" s="1"/>
    </row>
    <row r="20003" spans="2:2" x14ac:dyDescent="0.25">
      <c r="B20003" s="1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F15" sqref="F15"/>
    </sheetView>
  </sheetViews>
  <sheetFormatPr defaultRowHeight="15" x14ac:dyDescent="0.25"/>
  <cols>
    <col min="2" max="2" width="9.42578125" style="13" customWidth="1"/>
    <col min="3" max="3" width="9.140625" style="13" customWidth="1"/>
  </cols>
  <sheetData>
    <row r="1" spans="1:3" ht="60" x14ac:dyDescent="0.25">
      <c r="A1" s="13" t="s">
        <v>12</v>
      </c>
      <c r="B1" s="13" t="s">
        <v>12</v>
      </c>
      <c r="C1" s="1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B1" workbookViewId="0">
      <selection activeCell="Q1" sqref="Q1:Q6"/>
    </sheetView>
  </sheetViews>
  <sheetFormatPr defaultRowHeight="15" x14ac:dyDescent="0.25"/>
  <cols>
    <col min="1" max="1" width="30.42578125" bestFit="1" customWidth="1"/>
    <col min="3" max="3" width="17.140625" customWidth="1"/>
    <col min="5" max="5" width="12.140625" customWidth="1"/>
    <col min="7" max="7" width="11.5703125" bestFit="1" customWidth="1"/>
    <col min="9" max="9" width="11.5703125" bestFit="1" customWidth="1"/>
    <col min="11" max="11" width="10.5703125" bestFit="1" customWidth="1"/>
    <col min="17" max="17" width="30.42578125" bestFit="1" customWidth="1"/>
  </cols>
  <sheetData>
    <row r="1" spans="1:17" x14ac:dyDescent="0.25">
      <c r="A1" s="19" t="s">
        <v>13</v>
      </c>
      <c r="C1" s="20" t="s">
        <v>13</v>
      </c>
      <c r="E1" s="21" t="s">
        <v>14</v>
      </c>
      <c r="G1" s="22" t="s">
        <v>15</v>
      </c>
      <c r="I1" s="33" t="s">
        <v>15</v>
      </c>
      <c r="K1" s="13" t="s">
        <v>16</v>
      </c>
      <c r="M1" s="24" t="s">
        <v>17</v>
      </c>
      <c r="O1" s="25" t="s">
        <v>21</v>
      </c>
      <c r="Q1" s="35"/>
    </row>
    <row r="2" spans="1:17" x14ac:dyDescent="0.25">
      <c r="A2" s="16">
        <v>1231.3130000000001</v>
      </c>
      <c r="C2" s="17">
        <v>1231.3130000000001</v>
      </c>
      <c r="E2" s="18">
        <v>1</v>
      </c>
      <c r="G2" s="22">
        <v>6.25E-2</v>
      </c>
      <c r="I2" s="23">
        <v>6.25E-2</v>
      </c>
      <c r="K2" s="24">
        <v>12323</v>
      </c>
      <c r="M2" s="24" t="s">
        <v>18</v>
      </c>
      <c r="O2" s="25">
        <v>0.25</v>
      </c>
      <c r="Q2" s="30"/>
    </row>
    <row r="3" spans="1:17" x14ac:dyDescent="0.25">
      <c r="A3" s="16">
        <v>123432</v>
      </c>
      <c r="C3" s="17">
        <v>123432</v>
      </c>
      <c r="E3" s="18">
        <v>2</v>
      </c>
      <c r="G3" s="22">
        <v>6.9444444444444434E-2</v>
      </c>
      <c r="I3" s="23">
        <v>6.9444444444444434E-2</v>
      </c>
      <c r="K3" s="24">
        <v>234</v>
      </c>
      <c r="M3" s="24">
        <v>1235</v>
      </c>
      <c r="O3" s="25">
        <v>0.5</v>
      </c>
      <c r="Q3" s="30"/>
    </row>
    <row r="4" spans="1:17" x14ac:dyDescent="0.25">
      <c r="A4" s="16">
        <v>12131342431</v>
      </c>
      <c r="C4" s="17">
        <v>123424.31</v>
      </c>
      <c r="E4" s="18">
        <v>3</v>
      </c>
      <c r="G4" s="22">
        <v>0.23958333333333334</v>
      </c>
      <c r="H4" s="3"/>
      <c r="I4" s="23">
        <v>0.23958333333333334</v>
      </c>
      <c r="K4" s="24">
        <v>3454</v>
      </c>
      <c r="M4" s="24">
        <v>2345</v>
      </c>
      <c r="O4" s="25">
        <v>0.75</v>
      </c>
      <c r="Q4" s="30"/>
    </row>
    <row r="5" spans="1:17" x14ac:dyDescent="0.25">
      <c r="A5" s="16">
        <v>123.23430999999999</v>
      </c>
      <c r="C5" s="17">
        <v>123.23430999999999</v>
      </c>
      <c r="E5" s="18">
        <v>4</v>
      </c>
      <c r="G5" s="22">
        <v>0.28125</v>
      </c>
      <c r="I5" s="23">
        <v>0.28125</v>
      </c>
      <c r="K5" s="24">
        <v>34565</v>
      </c>
      <c r="M5" s="24">
        <v>34565</v>
      </c>
      <c r="O5" s="25">
        <v>0.25</v>
      </c>
      <c r="Q5" s="30"/>
    </row>
    <row r="6" spans="1:17" x14ac:dyDescent="0.25">
      <c r="A6" s="16">
        <v>-23431.23</v>
      </c>
      <c r="C6" s="17">
        <v>-23431.23</v>
      </c>
      <c r="E6" s="18">
        <v>5</v>
      </c>
      <c r="G6" s="22">
        <v>0.77083333333333337</v>
      </c>
      <c r="I6" s="23">
        <v>0.77083333333333337</v>
      </c>
      <c r="K6" s="24">
        <v>8765</v>
      </c>
      <c r="M6" s="24" t="s">
        <v>20</v>
      </c>
      <c r="O6" s="25">
        <v>2.5089999999999999</v>
      </c>
      <c r="Q6" s="30"/>
    </row>
    <row r="7" spans="1:17" x14ac:dyDescent="0.25">
      <c r="A7" s="16">
        <v>-1243124.1229999999</v>
      </c>
      <c r="C7" s="17">
        <v>-12431.123</v>
      </c>
      <c r="E7" s="18">
        <v>6</v>
      </c>
      <c r="G7" s="32">
        <v>0.90625</v>
      </c>
      <c r="H7" s="31"/>
      <c r="I7" s="33">
        <v>0.90625</v>
      </c>
      <c r="J7" s="31"/>
      <c r="K7" s="34">
        <v>34765</v>
      </c>
      <c r="M7" s="24" t="s">
        <v>19</v>
      </c>
      <c r="Q7" s="30"/>
    </row>
    <row r="8" spans="1:17" x14ac:dyDescent="0.25">
      <c r="A8" s="15"/>
    </row>
    <row r="9" spans="1:17" x14ac:dyDescent="0.25">
      <c r="C9" s="3"/>
    </row>
    <row r="10" spans="1:17" x14ac:dyDescent="0.25">
      <c r="C10" s="3"/>
      <c r="I10" s="13"/>
      <c r="K10" s="14"/>
      <c r="N10" s="28"/>
    </row>
    <row r="11" spans="1:17" x14ac:dyDescent="0.25">
      <c r="C11" s="3"/>
    </row>
    <row r="12" spans="1:17" x14ac:dyDescent="0.25">
      <c r="C12" s="3"/>
    </row>
    <row r="13" spans="1:17" x14ac:dyDescent="0.25">
      <c r="C13" s="3"/>
    </row>
    <row r="14" spans="1:17" x14ac:dyDescent="0.25">
      <c r="C14" s="3"/>
      <c r="G14" s="31"/>
      <c r="H14" s="31"/>
      <c r="I14" s="31"/>
      <c r="J14" s="31"/>
      <c r="K14" s="31"/>
      <c r="L14" s="31"/>
      <c r="P14" s="29"/>
    </row>
    <row r="15" spans="1:17" x14ac:dyDescent="0.25">
      <c r="C15" s="3"/>
    </row>
    <row r="16" spans="1:17" x14ac:dyDescent="0.25">
      <c r="C16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5" sqref="H5"/>
    </sheetView>
  </sheetViews>
  <sheetFormatPr defaultRowHeight="15" x14ac:dyDescent="0.25"/>
  <cols>
    <col min="1" max="1" width="27.140625" customWidth="1"/>
    <col min="2" max="2" width="11" bestFit="1" customWidth="1"/>
    <col min="3" max="3" width="24.140625" customWidth="1"/>
    <col min="5" max="5" width="34.28515625" customWidth="1"/>
    <col min="6" max="6" width="29.28515625" customWidth="1"/>
    <col min="8" max="8" width="12" bestFit="1" customWidth="1"/>
  </cols>
  <sheetData>
    <row r="1" spans="1:8" x14ac:dyDescent="0.25">
      <c r="A1" s="26" t="s">
        <v>22</v>
      </c>
      <c r="C1" s="27">
        <v>1234321123454320</v>
      </c>
      <c r="E1" s="24" t="s">
        <v>23</v>
      </c>
      <c r="F1" s="37" t="s">
        <v>25</v>
      </c>
      <c r="H1" s="38" t="s">
        <v>22</v>
      </c>
    </row>
    <row r="2" spans="1:8" x14ac:dyDescent="0.25">
      <c r="A2" s="14">
        <v>1234567890987650</v>
      </c>
      <c r="C2" s="14">
        <v>123452569876543</v>
      </c>
      <c r="E2" s="24">
        <v>12345674342</v>
      </c>
      <c r="F2" s="30">
        <v>45923</v>
      </c>
      <c r="H2" s="38">
        <v>1234587654</v>
      </c>
    </row>
    <row r="3" spans="1:8" x14ac:dyDescent="0.25">
      <c r="A3" s="14">
        <v>1234554321245670</v>
      </c>
      <c r="E3" s="24" t="s">
        <v>24</v>
      </c>
      <c r="F3" s="30">
        <v>45924</v>
      </c>
      <c r="H3" s="38">
        <v>12345665432</v>
      </c>
    </row>
    <row r="4" spans="1:8" x14ac:dyDescent="0.25">
      <c r="A4" s="14">
        <v>4567654346743450</v>
      </c>
      <c r="F4" s="36" t="s">
        <v>27</v>
      </c>
      <c r="H4" s="38">
        <v>12345678765432</v>
      </c>
    </row>
    <row r="5" spans="1:8" x14ac:dyDescent="0.25">
      <c r="A5" s="14">
        <v>1.23456872323465E+20</v>
      </c>
      <c r="F5" s="30">
        <v>45929</v>
      </c>
    </row>
    <row r="6" spans="1:8" x14ac:dyDescent="0.25">
      <c r="A6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P20" sqref="P20"/>
    </sheetView>
  </sheetViews>
  <sheetFormatPr defaultRowHeight="15" x14ac:dyDescent="0.25"/>
  <sheetData>
    <row r="1" spans="1:7" x14ac:dyDescent="0.25">
      <c r="A1" t="s">
        <v>28</v>
      </c>
      <c r="C1" t="s">
        <v>29</v>
      </c>
      <c r="E1" t="s">
        <v>26</v>
      </c>
      <c r="G1" t="s">
        <v>37</v>
      </c>
    </row>
    <row r="2" spans="1:7" x14ac:dyDescent="0.25">
      <c r="A2">
        <v>98</v>
      </c>
      <c r="C2" t="s">
        <v>30</v>
      </c>
      <c r="E2" s="1">
        <v>46000</v>
      </c>
      <c r="G2">
        <v>28</v>
      </c>
    </row>
    <row r="3" spans="1:7" x14ac:dyDescent="0.25">
      <c r="A3">
        <v>9</v>
      </c>
      <c r="C3" t="s">
        <v>31</v>
      </c>
      <c r="E3" s="1">
        <v>45923</v>
      </c>
      <c r="G3">
        <v>49</v>
      </c>
    </row>
    <row r="4" spans="1:7" x14ac:dyDescent="0.25">
      <c r="A4">
        <v>8</v>
      </c>
      <c r="C4" t="s">
        <v>32</v>
      </c>
      <c r="E4" s="1">
        <v>45544</v>
      </c>
      <c r="G4">
        <v>88</v>
      </c>
    </row>
    <row r="5" spans="1:7" x14ac:dyDescent="0.25">
      <c r="A5">
        <v>76</v>
      </c>
      <c r="C5" t="s">
        <v>33</v>
      </c>
      <c r="E5" s="1">
        <v>45890</v>
      </c>
      <c r="G5">
        <v>98</v>
      </c>
    </row>
    <row r="6" spans="1:7" x14ac:dyDescent="0.25">
      <c r="A6">
        <v>88</v>
      </c>
      <c r="C6" t="s">
        <v>34</v>
      </c>
      <c r="E6" s="1">
        <v>45922</v>
      </c>
      <c r="G6">
        <v>88</v>
      </c>
    </row>
    <row r="7" spans="1:7" x14ac:dyDescent="0.25">
      <c r="A7">
        <v>78</v>
      </c>
      <c r="C7" t="s">
        <v>35</v>
      </c>
      <c r="E7" s="1">
        <v>45494</v>
      </c>
      <c r="G7">
        <v>78</v>
      </c>
    </row>
    <row r="8" spans="1:7" x14ac:dyDescent="0.25">
      <c r="A8">
        <v>49</v>
      </c>
      <c r="C8" t="s">
        <v>36</v>
      </c>
      <c r="E8" s="1">
        <v>45658</v>
      </c>
      <c r="G8">
        <v>49</v>
      </c>
    </row>
  </sheetData>
  <conditionalFormatting sqref="G11">
    <cfRule type="duplicateValues" dxfId="8" priority="17"/>
  </conditionalFormatting>
  <conditionalFormatting sqref="E1:E8">
    <cfRule type="timePeriod" dxfId="7" priority="9" timePeriod="last7Days">
      <formula>AND(TODAY()-FLOOR(E1,1)&lt;=6,FLOOR(E1,1)&lt;=TODAY())</formula>
    </cfRule>
    <cfRule type="timePeriod" dxfId="6" priority="15" timePeriod="today">
      <formula>FLOOR(E1,1)=TODAY()</formula>
    </cfRule>
    <cfRule type="timePeriod" dxfId="5" priority="16" timePeriod="today">
      <formula>FLOOR(E1,1)=TODAY()</formula>
    </cfRule>
  </conditionalFormatting>
  <conditionalFormatting sqref="E1:E9">
    <cfRule type="timePeriod" dxfId="4" priority="14" timePeriod="lastMonth">
      <formula>AND(MONTH(E1)=MONTH(EDATE(TODAY(),0-1)),YEAR(E1)=YEAR(EDATE(TODAY(),0-1)))</formula>
    </cfRule>
  </conditionalFormatting>
  <conditionalFormatting sqref="G1:G9">
    <cfRule type="duplicateValues" dxfId="3" priority="13"/>
  </conditionalFormatting>
  <conditionalFormatting sqref="C1:C1048576">
    <cfRule type="containsText" dxfId="2" priority="12" operator="containsText" text="prerm">
      <formula>NOT(ISERROR(SEARCH("prerm",C1)))</formula>
    </cfRule>
  </conditionalFormatting>
  <conditionalFormatting sqref="C1:C8">
    <cfRule type="containsText" dxfId="1" priority="10" operator="containsText" text="vi">
      <formula>NOT(ISERROR(SEARCH("vi",C1)))</formula>
    </cfRule>
    <cfRule type="containsText" dxfId="0" priority="11" operator="containsText" text="prem">
      <formula>NOT(ISERROR(SEARCH("prem",C1)))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4"/>
  <sheetViews>
    <sheetView topLeftCell="A2" workbookViewId="0">
      <selection activeCell="G26" sqref="G26"/>
    </sheetView>
  </sheetViews>
  <sheetFormatPr defaultRowHeight="15" x14ac:dyDescent="0.25"/>
  <cols>
    <col min="3" max="3" width="20.85546875" customWidth="1"/>
    <col min="4" max="4" width="20" customWidth="1"/>
    <col min="5" max="5" width="17.85546875" customWidth="1"/>
    <col min="7" max="7" width="13.85546875" customWidth="1"/>
    <col min="8" max="8" width="18.85546875" customWidth="1"/>
    <col min="9" max="9" width="16.42578125" customWidth="1"/>
  </cols>
  <sheetData>
    <row r="2" spans="3:7" x14ac:dyDescent="0.25">
      <c r="C2" s="39" t="s">
        <v>38</v>
      </c>
      <c r="D2" s="40" t="s">
        <v>39</v>
      </c>
      <c r="E2" s="39" t="s">
        <v>38</v>
      </c>
    </row>
    <row r="4" spans="3:7" ht="21" x14ac:dyDescent="0.35">
      <c r="G4" s="41" t="s">
        <v>40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N16" sqref="N16"/>
    </sheetView>
  </sheetViews>
  <sheetFormatPr defaultRowHeight="15" x14ac:dyDescent="0.25"/>
  <sheetData>
    <row r="1" spans="1:15" x14ac:dyDescent="0.25">
      <c r="A1" s="42"/>
      <c r="B1" s="42">
        <v>23</v>
      </c>
      <c r="C1" s="42"/>
      <c r="D1" s="42">
        <v>123</v>
      </c>
      <c r="E1" s="42"/>
      <c r="F1" s="42">
        <v>23</v>
      </c>
      <c r="G1" s="42"/>
      <c r="H1" s="42">
        <v>23</v>
      </c>
      <c r="I1" s="42"/>
      <c r="J1" s="42">
        <v>23</v>
      </c>
      <c r="K1" s="42"/>
      <c r="L1" s="42"/>
      <c r="M1" s="42"/>
      <c r="N1" s="42" t="s">
        <v>41</v>
      </c>
      <c r="O1" s="42">
        <f>AVERAGE(D1:D6)</f>
        <v>589.5</v>
      </c>
    </row>
    <row r="2" spans="1:15" x14ac:dyDescent="0.25">
      <c r="A2" s="42"/>
      <c r="B2" s="42">
        <v>44</v>
      </c>
      <c r="C2" s="42"/>
      <c r="D2" s="42">
        <v>34</v>
      </c>
      <c r="E2" s="42"/>
      <c r="F2" s="42">
        <v>44</v>
      </c>
      <c r="G2" s="42"/>
      <c r="H2" s="42">
        <v>44</v>
      </c>
      <c r="I2" s="42"/>
      <c r="J2" s="42">
        <v>44</v>
      </c>
      <c r="K2" s="42"/>
      <c r="L2" s="42"/>
      <c r="M2" s="42"/>
      <c r="N2" s="42" t="s">
        <v>42</v>
      </c>
      <c r="O2" s="42">
        <f>COUNT(F1:F6)</f>
        <v>6</v>
      </c>
    </row>
    <row r="3" spans="1:15" x14ac:dyDescent="0.25">
      <c r="A3" s="42"/>
      <c r="B3" s="42">
        <v>56</v>
      </c>
      <c r="C3" s="42"/>
      <c r="D3" s="42">
        <v>234</v>
      </c>
      <c r="E3" s="42"/>
      <c r="F3" s="42">
        <v>56</v>
      </c>
      <c r="G3" s="42"/>
      <c r="H3" s="42">
        <v>56</v>
      </c>
      <c r="I3" s="42"/>
      <c r="J3" s="42">
        <v>56</v>
      </c>
      <c r="K3" s="42"/>
      <c r="L3" s="42"/>
      <c r="M3" s="42"/>
      <c r="N3" s="42" t="s">
        <v>43</v>
      </c>
      <c r="O3" s="42">
        <f>MAX(H1:H6)</f>
        <v>90</v>
      </c>
    </row>
    <row r="4" spans="1:15" x14ac:dyDescent="0.25">
      <c r="A4" s="42"/>
      <c r="B4" s="42">
        <v>76</v>
      </c>
      <c r="C4" s="42"/>
      <c r="D4" s="42">
        <v>456</v>
      </c>
      <c r="E4" s="42"/>
      <c r="F4" s="42">
        <v>76</v>
      </c>
      <c r="G4" s="42"/>
      <c r="H4" s="42">
        <v>76</v>
      </c>
      <c r="I4" s="42"/>
      <c r="J4" s="42">
        <v>76</v>
      </c>
      <c r="K4" s="42"/>
      <c r="L4" s="42"/>
      <c r="M4" s="42"/>
      <c r="N4" s="42" t="s">
        <v>44</v>
      </c>
      <c r="O4" s="42">
        <f>MIN(J1:J6)</f>
        <v>23</v>
      </c>
    </row>
    <row r="5" spans="1:15" x14ac:dyDescent="0.25">
      <c r="A5" s="42"/>
      <c r="B5" s="42">
        <v>78</v>
      </c>
      <c r="C5" s="42"/>
      <c r="D5" s="42">
        <v>2345</v>
      </c>
      <c r="E5" s="42"/>
      <c r="F5" s="42">
        <v>78</v>
      </c>
      <c r="G5" s="42"/>
      <c r="H5" s="42">
        <v>78</v>
      </c>
      <c r="I5" s="42"/>
      <c r="J5" s="42">
        <v>78</v>
      </c>
      <c r="K5" s="42"/>
      <c r="L5" s="42"/>
      <c r="M5" s="42"/>
      <c r="N5" s="42"/>
      <c r="O5" s="42"/>
    </row>
    <row r="6" spans="1:15" x14ac:dyDescent="0.25">
      <c r="A6" s="42"/>
      <c r="B6" s="42">
        <v>90</v>
      </c>
      <c r="C6" s="42"/>
      <c r="D6" s="42">
        <v>345</v>
      </c>
      <c r="E6" s="42"/>
      <c r="F6" s="42">
        <v>90</v>
      </c>
      <c r="G6" s="42"/>
      <c r="H6" s="42">
        <v>90</v>
      </c>
      <c r="I6" s="42"/>
      <c r="J6" s="42">
        <v>90</v>
      </c>
      <c r="K6" s="42"/>
      <c r="L6" s="42"/>
      <c r="M6" s="42"/>
      <c r="N6" s="42"/>
      <c r="O6" s="42"/>
    </row>
    <row r="7" spans="1:15" x14ac:dyDescent="0.25">
      <c r="A7" s="57" t="s">
        <v>45</v>
      </c>
      <c r="B7" s="57">
        <f>SUM(B1:B6)</f>
        <v>367</v>
      </c>
      <c r="C7" s="57"/>
      <c r="D7" s="57">
        <f>AVERAGE(D1:D6)</f>
        <v>589.5</v>
      </c>
      <c r="E7" s="57"/>
      <c r="F7" s="57">
        <f>COUNT(F1:F6)</f>
        <v>6</v>
      </c>
      <c r="G7" s="57"/>
      <c r="H7" s="57">
        <f>MAX(H1:H6)</f>
        <v>90</v>
      </c>
      <c r="I7" s="57"/>
      <c r="J7" s="57">
        <f>MIN(J1:J6)</f>
        <v>23</v>
      </c>
      <c r="K7" s="57"/>
      <c r="L7" s="42"/>
      <c r="M7" s="42"/>
      <c r="N7" s="42"/>
      <c r="O7" s="42"/>
    </row>
    <row r="8" spans="1:15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</row>
    <row r="9" spans="1:15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</row>
    <row r="10" spans="1:15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</row>
    <row r="11" spans="1:15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</row>
    <row r="12" spans="1:15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25" workbookViewId="0">
      <selection activeCell="H40" sqref="H40"/>
    </sheetView>
  </sheetViews>
  <sheetFormatPr defaultRowHeight="15" x14ac:dyDescent="0.25"/>
  <cols>
    <col min="1" max="1" width="12.140625" customWidth="1"/>
    <col min="2" max="2" width="7.28515625" customWidth="1"/>
    <col min="3" max="3" width="11.7109375" customWidth="1"/>
    <col min="4" max="4" width="6.28515625" customWidth="1"/>
    <col min="5" max="5" width="18.7109375" customWidth="1"/>
    <col min="6" max="6" width="9.140625" customWidth="1"/>
    <col min="10" max="10" width="14" customWidth="1"/>
  </cols>
  <sheetData>
    <row r="1" spans="1:10" x14ac:dyDescent="0.25">
      <c r="A1" s="43" t="s">
        <v>46</v>
      </c>
      <c r="B1" s="43" t="s">
        <v>47</v>
      </c>
      <c r="C1" s="43" t="s">
        <v>48</v>
      </c>
      <c r="E1" s="43" t="s">
        <v>49</v>
      </c>
      <c r="G1" s="43" t="s">
        <v>50</v>
      </c>
    </row>
    <row r="2" spans="1:10" x14ac:dyDescent="0.25">
      <c r="A2">
        <v>101</v>
      </c>
      <c r="B2" t="s">
        <v>51</v>
      </c>
      <c r="C2" t="s">
        <v>61</v>
      </c>
      <c r="E2">
        <v>50000</v>
      </c>
      <c r="G2">
        <v>5</v>
      </c>
    </row>
    <row r="3" spans="1:10" x14ac:dyDescent="0.25">
      <c r="A3">
        <v>102</v>
      </c>
      <c r="B3" t="s">
        <v>52</v>
      </c>
      <c r="C3" t="s">
        <v>62</v>
      </c>
      <c r="E3">
        <v>60000</v>
      </c>
      <c r="G3">
        <v>6</v>
      </c>
    </row>
    <row r="4" spans="1:10" x14ac:dyDescent="0.25">
      <c r="A4">
        <v>103</v>
      </c>
      <c r="B4" t="s">
        <v>53</v>
      </c>
      <c r="C4" t="s">
        <v>63</v>
      </c>
      <c r="E4">
        <v>70000</v>
      </c>
      <c r="G4">
        <v>7</v>
      </c>
    </row>
    <row r="5" spans="1:10" x14ac:dyDescent="0.25">
      <c r="A5">
        <v>104</v>
      </c>
      <c r="B5" t="s">
        <v>55</v>
      </c>
      <c r="C5" t="s">
        <v>62</v>
      </c>
      <c r="E5">
        <v>80000</v>
      </c>
      <c r="G5">
        <v>3</v>
      </c>
    </row>
    <row r="6" spans="1:10" x14ac:dyDescent="0.25">
      <c r="A6">
        <v>105</v>
      </c>
      <c r="B6" t="s">
        <v>54</v>
      </c>
      <c r="C6" t="s">
        <v>61</v>
      </c>
      <c r="E6">
        <v>90000</v>
      </c>
      <c r="G6">
        <v>2</v>
      </c>
    </row>
    <row r="7" spans="1:10" x14ac:dyDescent="0.25">
      <c r="A7">
        <v>106</v>
      </c>
      <c r="B7" t="s">
        <v>56</v>
      </c>
      <c r="C7" t="s">
        <v>63</v>
      </c>
      <c r="E7">
        <v>65000</v>
      </c>
      <c r="G7">
        <v>1</v>
      </c>
    </row>
    <row r="8" spans="1:10" x14ac:dyDescent="0.25">
      <c r="A8">
        <v>107</v>
      </c>
      <c r="B8" t="s">
        <v>57</v>
      </c>
      <c r="C8" t="s">
        <v>62</v>
      </c>
      <c r="E8">
        <v>55000</v>
      </c>
      <c r="G8">
        <v>5</v>
      </c>
    </row>
    <row r="9" spans="1:10" x14ac:dyDescent="0.25">
      <c r="A9">
        <v>108</v>
      </c>
      <c r="B9" t="s">
        <v>58</v>
      </c>
      <c r="C9" t="s">
        <v>61</v>
      </c>
      <c r="E9">
        <v>45000</v>
      </c>
      <c r="G9">
        <v>6</v>
      </c>
    </row>
    <row r="10" spans="1:10" x14ac:dyDescent="0.25">
      <c r="A10">
        <v>109</v>
      </c>
      <c r="B10" t="s">
        <v>59</v>
      </c>
      <c r="C10" t="s">
        <v>63</v>
      </c>
      <c r="E10">
        <v>66000</v>
      </c>
      <c r="G10">
        <v>8</v>
      </c>
    </row>
    <row r="11" spans="1:10" x14ac:dyDescent="0.25">
      <c r="A11">
        <v>110</v>
      </c>
      <c r="B11" t="s">
        <v>60</v>
      </c>
      <c r="C11" t="s">
        <v>62</v>
      </c>
      <c r="E11">
        <v>88000</v>
      </c>
      <c r="G11">
        <v>3</v>
      </c>
    </row>
    <row r="13" spans="1:10" ht="33" customHeight="1" x14ac:dyDescent="0.25">
      <c r="A13" s="99" t="s">
        <v>64</v>
      </c>
      <c r="B13" s="100"/>
      <c r="C13" s="100"/>
      <c r="D13" s="100"/>
      <c r="E13" s="100"/>
      <c r="F13" s="100"/>
      <c r="G13" s="100"/>
      <c r="H13" s="100"/>
      <c r="I13" s="100"/>
      <c r="J13" s="100"/>
    </row>
    <row r="15" spans="1:10" x14ac:dyDescent="0.25">
      <c r="A15" s="43" t="s">
        <v>46</v>
      </c>
      <c r="B15" s="43" t="s">
        <v>47</v>
      </c>
      <c r="C15" s="43" t="s">
        <v>48</v>
      </c>
      <c r="D15" s="43" t="s">
        <v>49</v>
      </c>
      <c r="E15" s="43" t="s">
        <v>50</v>
      </c>
    </row>
    <row r="16" spans="1:10" x14ac:dyDescent="0.25">
      <c r="A16">
        <v>101</v>
      </c>
      <c r="B16" t="s">
        <v>51</v>
      </c>
      <c r="C16" t="s">
        <v>61</v>
      </c>
      <c r="D16">
        <v>50000</v>
      </c>
      <c r="E16">
        <v>5</v>
      </c>
    </row>
    <row r="17" spans="1:10" x14ac:dyDescent="0.25">
      <c r="A17">
        <v>102</v>
      </c>
      <c r="B17" t="s">
        <v>52</v>
      </c>
      <c r="C17" t="s">
        <v>62</v>
      </c>
      <c r="D17">
        <v>60000</v>
      </c>
      <c r="E17">
        <v>6</v>
      </c>
    </row>
    <row r="18" spans="1:10" x14ac:dyDescent="0.25">
      <c r="A18">
        <v>103</v>
      </c>
      <c r="B18" t="s">
        <v>53</v>
      </c>
      <c r="C18" t="s">
        <v>63</v>
      </c>
      <c r="D18">
        <v>70000</v>
      </c>
      <c r="E18">
        <v>7</v>
      </c>
    </row>
    <row r="19" spans="1:10" x14ac:dyDescent="0.25">
      <c r="A19">
        <v>104</v>
      </c>
      <c r="B19" t="s">
        <v>55</v>
      </c>
      <c r="C19" t="s">
        <v>62</v>
      </c>
      <c r="D19">
        <v>80000</v>
      </c>
      <c r="E19">
        <v>3</v>
      </c>
      <c r="J19" s="31"/>
    </row>
    <row r="20" spans="1:10" x14ac:dyDescent="0.25">
      <c r="A20">
        <v>105</v>
      </c>
      <c r="B20" t="s">
        <v>54</v>
      </c>
      <c r="C20" t="s">
        <v>61</v>
      </c>
      <c r="D20">
        <v>90000</v>
      </c>
      <c r="E20">
        <v>2</v>
      </c>
      <c r="I20" s="31"/>
    </row>
    <row r="21" spans="1:10" x14ac:dyDescent="0.25">
      <c r="A21">
        <v>106</v>
      </c>
      <c r="B21" t="s">
        <v>56</v>
      </c>
      <c r="C21" t="s">
        <v>63</v>
      </c>
      <c r="D21">
        <v>65000</v>
      </c>
      <c r="E21">
        <v>1</v>
      </c>
    </row>
    <row r="22" spans="1:10" x14ac:dyDescent="0.25">
      <c r="A22">
        <v>107</v>
      </c>
      <c r="B22" t="s">
        <v>57</v>
      </c>
      <c r="C22" t="s">
        <v>62</v>
      </c>
      <c r="D22">
        <v>55000</v>
      </c>
      <c r="E22">
        <v>5</v>
      </c>
    </row>
    <row r="23" spans="1:10" x14ac:dyDescent="0.25">
      <c r="A23">
        <v>108</v>
      </c>
      <c r="B23" t="s">
        <v>58</v>
      </c>
      <c r="C23" t="s">
        <v>61</v>
      </c>
      <c r="D23">
        <v>45000</v>
      </c>
      <c r="E23">
        <v>6</v>
      </c>
    </row>
    <row r="24" spans="1:10" x14ac:dyDescent="0.25">
      <c r="A24">
        <v>109</v>
      </c>
      <c r="B24" t="s">
        <v>59</v>
      </c>
      <c r="C24" t="s">
        <v>63</v>
      </c>
      <c r="D24">
        <v>66000</v>
      </c>
      <c r="E24">
        <v>8</v>
      </c>
    </row>
    <row r="25" spans="1:10" x14ac:dyDescent="0.25">
      <c r="A25">
        <v>110</v>
      </c>
      <c r="B25" t="s">
        <v>60</v>
      </c>
      <c r="C25" t="s">
        <v>62</v>
      </c>
      <c r="D25">
        <v>88000</v>
      </c>
      <c r="E25">
        <v>3</v>
      </c>
      <c r="J25" s="13"/>
    </row>
    <row r="26" spans="1:10" x14ac:dyDescent="0.25">
      <c r="J26" s="13"/>
    </row>
    <row r="28" spans="1:10" ht="24" customHeight="1" x14ac:dyDescent="0.3">
      <c r="A28" s="101" t="s">
        <v>65</v>
      </c>
      <c r="B28" s="102"/>
      <c r="C28" s="102"/>
      <c r="D28" s="102"/>
      <c r="E28" s="102"/>
      <c r="F28" s="102"/>
      <c r="G28" s="102"/>
      <c r="H28" s="102"/>
      <c r="I28" s="102"/>
    </row>
    <row r="29" spans="1:10" ht="15.75" thickBot="1" x14ac:dyDescent="0.3"/>
    <row r="30" spans="1:10" x14ac:dyDescent="0.25">
      <c r="A30" s="45" t="s">
        <v>46</v>
      </c>
      <c r="B30" s="46" t="s">
        <v>47</v>
      </c>
      <c r="C30" s="46" t="s">
        <v>48</v>
      </c>
      <c r="D30" s="46" t="s">
        <v>49</v>
      </c>
      <c r="E30" s="46" t="s">
        <v>50</v>
      </c>
      <c r="F30" s="49"/>
    </row>
    <row r="31" spans="1:10" x14ac:dyDescent="0.25">
      <c r="A31" s="47">
        <v>101</v>
      </c>
      <c r="B31" s="44" t="s">
        <v>51</v>
      </c>
      <c r="C31" s="44" t="s">
        <v>61</v>
      </c>
      <c r="D31" s="44">
        <v>50000</v>
      </c>
      <c r="E31" s="44">
        <v>5</v>
      </c>
      <c r="F31" s="50"/>
    </row>
    <row r="32" spans="1:10" x14ac:dyDescent="0.25">
      <c r="A32" s="47">
        <v>102</v>
      </c>
      <c r="B32" s="44" t="s">
        <v>52</v>
      </c>
      <c r="C32" s="44" t="s">
        <v>62</v>
      </c>
      <c r="D32" s="44">
        <v>60000</v>
      </c>
      <c r="E32" s="44">
        <v>6</v>
      </c>
      <c r="F32" s="50"/>
    </row>
    <row r="33" spans="1:6" x14ac:dyDescent="0.25">
      <c r="A33" s="47">
        <v>103</v>
      </c>
      <c r="B33" s="44" t="s">
        <v>53</v>
      </c>
      <c r="C33" s="44" t="s">
        <v>63</v>
      </c>
      <c r="D33" s="44">
        <v>70000</v>
      </c>
      <c r="E33" s="44">
        <v>7</v>
      </c>
      <c r="F33" s="50"/>
    </row>
    <row r="34" spans="1:6" x14ac:dyDescent="0.25">
      <c r="A34" s="47">
        <v>104</v>
      </c>
      <c r="B34" s="44" t="s">
        <v>55</v>
      </c>
      <c r="C34" s="44" t="s">
        <v>62</v>
      </c>
      <c r="D34" s="44">
        <v>80000</v>
      </c>
      <c r="E34" s="44">
        <v>3</v>
      </c>
      <c r="F34" s="50"/>
    </row>
    <row r="35" spans="1:6" x14ac:dyDescent="0.25">
      <c r="A35" s="47">
        <v>105</v>
      </c>
      <c r="B35" s="44" t="s">
        <v>54</v>
      </c>
      <c r="C35" s="44" t="s">
        <v>61</v>
      </c>
      <c r="D35" s="44">
        <v>90000</v>
      </c>
      <c r="E35" s="44">
        <v>2</v>
      </c>
      <c r="F35" s="50"/>
    </row>
    <row r="36" spans="1:6" x14ac:dyDescent="0.25">
      <c r="A36" s="47">
        <v>106</v>
      </c>
      <c r="B36" s="44" t="s">
        <v>56</v>
      </c>
      <c r="C36" s="44" t="s">
        <v>63</v>
      </c>
      <c r="D36" s="44">
        <v>65000</v>
      </c>
      <c r="E36" s="44">
        <v>1</v>
      </c>
      <c r="F36" s="50"/>
    </row>
    <row r="37" spans="1:6" x14ac:dyDescent="0.25">
      <c r="A37" s="47">
        <v>107</v>
      </c>
      <c r="B37" s="44" t="s">
        <v>57</v>
      </c>
      <c r="C37" s="44" t="s">
        <v>62</v>
      </c>
      <c r="D37" s="44">
        <v>55000</v>
      </c>
      <c r="E37" s="44">
        <v>5</v>
      </c>
      <c r="F37" s="50"/>
    </row>
    <row r="38" spans="1:6" x14ac:dyDescent="0.25">
      <c r="A38" s="47">
        <v>108</v>
      </c>
      <c r="B38" s="44" t="s">
        <v>58</v>
      </c>
      <c r="C38" s="44" t="s">
        <v>61</v>
      </c>
      <c r="D38" s="44">
        <v>45000</v>
      </c>
      <c r="E38" s="44">
        <v>6</v>
      </c>
      <c r="F38" s="50"/>
    </row>
    <row r="39" spans="1:6" x14ac:dyDescent="0.25">
      <c r="A39" s="47">
        <v>109</v>
      </c>
      <c r="B39" s="44" t="s">
        <v>59</v>
      </c>
      <c r="C39" s="44" t="s">
        <v>63</v>
      </c>
      <c r="D39" s="44">
        <v>66000</v>
      </c>
      <c r="E39" s="44">
        <v>8</v>
      </c>
      <c r="F39" s="50"/>
    </row>
    <row r="40" spans="1:6" ht="15.75" thickBot="1" x14ac:dyDescent="0.3">
      <c r="A40" s="51">
        <v>110</v>
      </c>
      <c r="B40" s="52" t="s">
        <v>60</v>
      </c>
      <c r="C40" s="52" t="s">
        <v>62</v>
      </c>
      <c r="D40" s="52">
        <v>88000</v>
      </c>
      <c r="E40" s="52">
        <v>3</v>
      </c>
      <c r="F40" s="53"/>
    </row>
  </sheetData>
  <mergeCells count="2">
    <mergeCell ref="A13:J13"/>
    <mergeCell ref="A28:I2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J2" sqref="J2"/>
    </sheetView>
  </sheetViews>
  <sheetFormatPr defaultRowHeight="15" x14ac:dyDescent="0.25"/>
  <cols>
    <col min="1" max="1" width="16.140625" customWidth="1"/>
    <col min="2" max="2" width="12.85546875" customWidth="1"/>
    <col min="3" max="3" width="15.140625" customWidth="1"/>
    <col min="4" max="4" width="16" customWidth="1"/>
    <col min="5" max="5" width="22.85546875" customWidth="1"/>
    <col min="6" max="6" width="14.5703125" customWidth="1"/>
    <col min="7" max="7" width="14.140625" customWidth="1"/>
    <col min="9" max="10" width="16" customWidth="1"/>
    <col min="11" max="11" width="14.7109375" customWidth="1"/>
    <col min="12" max="12" width="19.85546875" customWidth="1"/>
  </cols>
  <sheetData>
    <row r="1" spans="1:12" x14ac:dyDescent="0.25">
      <c r="A1" s="55" t="s">
        <v>46</v>
      </c>
      <c r="B1" s="55" t="s">
        <v>47</v>
      </c>
      <c r="C1" s="55" t="s">
        <v>48</v>
      </c>
      <c r="D1" s="55" t="s">
        <v>49</v>
      </c>
      <c r="E1" s="55" t="s">
        <v>50</v>
      </c>
      <c r="F1" s="56" t="s">
        <v>66</v>
      </c>
      <c r="G1" s="55" t="s">
        <v>67</v>
      </c>
      <c r="H1" s="55" t="s">
        <v>68</v>
      </c>
      <c r="I1" s="55" t="s">
        <v>69</v>
      </c>
      <c r="J1" s="55" t="s">
        <v>70</v>
      </c>
      <c r="K1" s="55" t="s">
        <v>70</v>
      </c>
      <c r="L1" s="55" t="s">
        <v>71</v>
      </c>
    </row>
    <row r="2" spans="1:12" x14ac:dyDescent="0.25">
      <c r="A2">
        <v>101</v>
      </c>
      <c r="B2" t="s">
        <v>51</v>
      </c>
      <c r="C2" t="s">
        <v>61</v>
      </c>
      <c r="D2">
        <v>50000</v>
      </c>
      <c r="E2">
        <v>8</v>
      </c>
      <c r="F2" s="48" t="str">
        <f>UPPER(B2)</f>
        <v>ALICE</v>
      </c>
      <c r="G2" t="str">
        <f>LOWER(F2)</f>
        <v>alice</v>
      </c>
      <c r="H2">
        <f>SQRT(E2)</f>
        <v>2.8284271247461903</v>
      </c>
      <c r="I2">
        <f>POWER(E2,2)</f>
        <v>64</v>
      </c>
      <c r="J2" t="str">
        <f>MID(F2,1,3)</f>
        <v>ALI</v>
      </c>
      <c r="K2" t="str">
        <f>MID(F2,2,3)</f>
        <v>LIC</v>
      </c>
      <c r="L2" t="str">
        <f>MID(H2,2,3)</f>
        <v>.82</v>
      </c>
    </row>
    <row r="3" spans="1:12" x14ac:dyDescent="0.25">
      <c r="A3">
        <v>102</v>
      </c>
      <c r="B3" t="s">
        <v>52</v>
      </c>
      <c r="C3" t="s">
        <v>62</v>
      </c>
      <c r="D3">
        <v>60000</v>
      </c>
      <c r="E3">
        <v>6</v>
      </c>
      <c r="F3" s="48" t="str">
        <f t="shared" ref="F3:F11" si="0">UPPER(B3)</f>
        <v>BOB</v>
      </c>
      <c r="G3" t="str">
        <f t="shared" ref="G3:G11" si="1">LOWER(F3)</f>
        <v>bob</v>
      </c>
      <c r="H3">
        <f t="shared" ref="H3:H11" si="2">SQRT(E3)</f>
        <v>2.4494897427831779</v>
      </c>
      <c r="I3">
        <f t="shared" ref="I3:I11" si="3">POWER(E3,2)</f>
        <v>36</v>
      </c>
      <c r="J3" t="str">
        <f t="shared" ref="J3:J12" si="4">MID(F3,1,3)</f>
        <v>BOB</v>
      </c>
      <c r="K3" t="str">
        <f t="shared" ref="K3:K11" si="5">MID(F3,2,3)</f>
        <v>OB</v>
      </c>
      <c r="L3" t="str">
        <f>MID(H3,2,3)</f>
        <v>.44</v>
      </c>
    </row>
    <row r="4" spans="1:12" x14ac:dyDescent="0.25">
      <c r="A4">
        <v>103</v>
      </c>
      <c r="B4" t="s">
        <v>53</v>
      </c>
      <c r="C4" t="s">
        <v>63</v>
      </c>
      <c r="D4">
        <v>70000</v>
      </c>
      <c r="E4">
        <v>4</v>
      </c>
      <c r="F4" s="48" t="str">
        <f t="shared" si="0"/>
        <v>CHARLI</v>
      </c>
      <c r="G4" t="str">
        <f t="shared" si="1"/>
        <v>charli</v>
      </c>
      <c r="H4">
        <f t="shared" si="2"/>
        <v>2</v>
      </c>
      <c r="I4">
        <f t="shared" si="3"/>
        <v>16</v>
      </c>
      <c r="J4" t="str">
        <f t="shared" si="4"/>
        <v>CHA</v>
      </c>
      <c r="K4" t="str">
        <f t="shared" si="5"/>
        <v>HAR</v>
      </c>
      <c r="L4" t="str">
        <f t="shared" ref="L4:L11" si="6">MID(H4,2,3)</f>
        <v/>
      </c>
    </row>
    <row r="5" spans="1:12" x14ac:dyDescent="0.25">
      <c r="A5">
        <v>104</v>
      </c>
      <c r="B5" t="s">
        <v>55</v>
      </c>
      <c r="C5" t="s">
        <v>62</v>
      </c>
      <c r="D5">
        <v>80000</v>
      </c>
      <c r="E5">
        <v>3</v>
      </c>
      <c r="F5" s="48" t="str">
        <f t="shared" si="0"/>
        <v>CARRY</v>
      </c>
      <c r="G5" t="str">
        <f t="shared" si="1"/>
        <v>carry</v>
      </c>
      <c r="H5">
        <f t="shared" si="2"/>
        <v>1.7320508075688772</v>
      </c>
      <c r="I5">
        <f t="shared" si="3"/>
        <v>9</v>
      </c>
      <c r="J5" t="str">
        <f t="shared" si="4"/>
        <v>CAR</v>
      </c>
      <c r="K5" t="str">
        <f t="shared" si="5"/>
        <v>ARR</v>
      </c>
      <c r="L5" t="str">
        <f t="shared" si="6"/>
        <v>.73</v>
      </c>
    </row>
    <row r="6" spans="1:12" x14ac:dyDescent="0.25">
      <c r="A6">
        <v>105</v>
      </c>
      <c r="B6" t="s">
        <v>54</v>
      </c>
      <c r="C6" t="s">
        <v>61</v>
      </c>
      <c r="D6" s="54">
        <v>90000</v>
      </c>
      <c r="E6">
        <v>2</v>
      </c>
      <c r="F6" s="48" t="str">
        <f t="shared" si="0"/>
        <v>MILNA</v>
      </c>
      <c r="G6" t="str">
        <f t="shared" si="1"/>
        <v>milna</v>
      </c>
      <c r="H6">
        <f t="shared" si="2"/>
        <v>1.4142135623730951</v>
      </c>
      <c r="I6">
        <f t="shared" si="3"/>
        <v>4</v>
      </c>
      <c r="J6" t="str">
        <f t="shared" si="4"/>
        <v>MIL</v>
      </c>
      <c r="K6" t="str">
        <f t="shared" si="5"/>
        <v>ILN</v>
      </c>
      <c r="L6" t="str">
        <f t="shared" si="6"/>
        <v>.41</v>
      </c>
    </row>
    <row r="7" spans="1:12" x14ac:dyDescent="0.25">
      <c r="A7">
        <v>106</v>
      </c>
      <c r="B7" t="s">
        <v>56</v>
      </c>
      <c r="C7" t="s">
        <v>63</v>
      </c>
      <c r="D7">
        <v>65000</v>
      </c>
      <c r="E7">
        <v>1</v>
      </c>
      <c r="F7" s="48" t="str">
        <f t="shared" si="0"/>
        <v>JOKEY</v>
      </c>
      <c r="G7" t="str">
        <f t="shared" si="1"/>
        <v>jokey</v>
      </c>
      <c r="H7">
        <f t="shared" si="2"/>
        <v>1</v>
      </c>
      <c r="I7">
        <f t="shared" si="3"/>
        <v>1</v>
      </c>
      <c r="J7" t="str">
        <f t="shared" si="4"/>
        <v>JOK</v>
      </c>
      <c r="K7" t="str">
        <f t="shared" si="5"/>
        <v>OKE</v>
      </c>
      <c r="L7" t="str">
        <f t="shared" si="6"/>
        <v/>
      </c>
    </row>
    <row r="8" spans="1:12" x14ac:dyDescent="0.25">
      <c r="A8">
        <v>107</v>
      </c>
      <c r="B8" t="s">
        <v>57</v>
      </c>
      <c r="C8" t="s">
        <v>62</v>
      </c>
      <c r="D8">
        <v>55000</v>
      </c>
      <c r="E8">
        <v>5</v>
      </c>
      <c r="F8" s="48" t="str">
        <f t="shared" si="0"/>
        <v>ROCKEY</v>
      </c>
      <c r="G8" t="str">
        <f t="shared" si="1"/>
        <v>rockey</v>
      </c>
      <c r="H8">
        <f t="shared" si="2"/>
        <v>2.2360679774997898</v>
      </c>
      <c r="I8">
        <f t="shared" si="3"/>
        <v>25</v>
      </c>
      <c r="J8" t="str">
        <f t="shared" si="4"/>
        <v>ROC</v>
      </c>
      <c r="K8" t="str">
        <f t="shared" si="5"/>
        <v>OCK</v>
      </c>
      <c r="L8" t="str">
        <f t="shared" si="6"/>
        <v>.23</v>
      </c>
    </row>
    <row r="9" spans="1:12" x14ac:dyDescent="0.25">
      <c r="A9">
        <v>108</v>
      </c>
      <c r="B9" t="s">
        <v>58</v>
      </c>
      <c r="C9" t="s">
        <v>61</v>
      </c>
      <c r="D9">
        <v>45000</v>
      </c>
      <c r="E9">
        <v>6</v>
      </c>
      <c r="F9" s="48" t="str">
        <f t="shared" si="0"/>
        <v>IVAN</v>
      </c>
      <c r="G9" t="str">
        <f t="shared" si="1"/>
        <v>ivan</v>
      </c>
      <c r="H9">
        <f t="shared" si="2"/>
        <v>2.4494897427831779</v>
      </c>
      <c r="I9">
        <f t="shared" si="3"/>
        <v>36</v>
      </c>
      <c r="J9" t="str">
        <f t="shared" si="4"/>
        <v>IVA</v>
      </c>
      <c r="K9" t="str">
        <f t="shared" si="5"/>
        <v>VAN</v>
      </c>
      <c r="L9" t="str">
        <f t="shared" si="6"/>
        <v>.44</v>
      </c>
    </row>
    <row r="10" spans="1:12" x14ac:dyDescent="0.25">
      <c r="A10">
        <v>109</v>
      </c>
      <c r="B10" t="s">
        <v>59</v>
      </c>
      <c r="C10" t="s">
        <v>63</v>
      </c>
      <c r="D10">
        <v>66000</v>
      </c>
      <c r="E10">
        <v>8</v>
      </c>
      <c r="F10" s="48" t="str">
        <f t="shared" si="0"/>
        <v>JACK</v>
      </c>
      <c r="G10" t="str">
        <f t="shared" si="1"/>
        <v>jack</v>
      </c>
      <c r="H10">
        <f t="shared" si="2"/>
        <v>2.8284271247461903</v>
      </c>
      <c r="I10">
        <f t="shared" si="3"/>
        <v>64</v>
      </c>
      <c r="J10" t="str">
        <f t="shared" si="4"/>
        <v>JAC</v>
      </c>
      <c r="K10" t="str">
        <f t="shared" si="5"/>
        <v>ACK</v>
      </c>
      <c r="L10" t="str">
        <f t="shared" si="6"/>
        <v>.82</v>
      </c>
    </row>
    <row r="11" spans="1:12" x14ac:dyDescent="0.25">
      <c r="A11">
        <v>110</v>
      </c>
      <c r="B11" t="s">
        <v>60</v>
      </c>
      <c r="C11" t="s">
        <v>62</v>
      </c>
      <c r="D11">
        <v>88000</v>
      </c>
      <c r="E11">
        <v>3</v>
      </c>
      <c r="F11" s="48" t="str">
        <f t="shared" si="0"/>
        <v>GRACE</v>
      </c>
      <c r="G11" t="str">
        <f t="shared" si="1"/>
        <v>grace</v>
      </c>
      <c r="H11">
        <f t="shared" si="2"/>
        <v>1.7320508075688772</v>
      </c>
      <c r="I11">
        <f t="shared" si="3"/>
        <v>9</v>
      </c>
      <c r="J11" t="str">
        <f t="shared" si="4"/>
        <v>GRA</v>
      </c>
      <c r="K11" t="str">
        <f t="shared" si="5"/>
        <v>RAC</v>
      </c>
      <c r="L11" t="str">
        <f t="shared" si="6"/>
        <v>.73</v>
      </c>
    </row>
    <row r="12" spans="1:12" x14ac:dyDescent="0.25">
      <c r="J12" t="str">
        <f t="shared" si="4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workbookViewId="0">
      <selection activeCell="B1" sqref="B1:D7"/>
    </sheetView>
  </sheetViews>
  <sheetFormatPr defaultRowHeight="15" x14ac:dyDescent="0.25"/>
  <cols>
    <col min="1" max="1" width="16.42578125" customWidth="1"/>
    <col min="2" max="3" width="12.28515625" customWidth="1"/>
    <col min="4" max="4" width="16" customWidth="1"/>
    <col min="5" max="5" width="19.28515625" customWidth="1"/>
    <col min="6" max="6" width="14" customWidth="1"/>
    <col min="7" max="7" width="13.42578125" customWidth="1"/>
    <col min="8" max="8" width="13.5703125" customWidth="1"/>
    <col min="9" max="9" width="38.85546875" customWidth="1"/>
    <col min="13" max="13" width="13.5703125" customWidth="1"/>
    <col min="16" max="16" width="12.7109375" customWidth="1"/>
    <col min="17" max="17" width="12.140625" customWidth="1"/>
  </cols>
  <sheetData>
    <row r="1" spans="1:17" x14ac:dyDescent="0.25">
      <c r="A1" s="55" t="s">
        <v>46</v>
      </c>
      <c r="B1" s="55" t="s">
        <v>47</v>
      </c>
      <c r="C1" s="55" t="s">
        <v>72</v>
      </c>
      <c r="D1" s="55" t="s">
        <v>48</v>
      </c>
      <c r="E1" s="55" t="s">
        <v>79</v>
      </c>
      <c r="F1" s="58" t="s">
        <v>86</v>
      </c>
      <c r="G1" t="s">
        <v>88</v>
      </c>
      <c r="H1" s="58" t="s">
        <v>87</v>
      </c>
      <c r="I1" s="58" t="s">
        <v>92</v>
      </c>
      <c r="J1" s="58" t="s">
        <v>94</v>
      </c>
      <c r="K1" s="58" t="s">
        <v>96</v>
      </c>
      <c r="L1" s="58" t="s">
        <v>95</v>
      </c>
      <c r="M1" s="58" t="s">
        <v>97</v>
      </c>
      <c r="N1" s="58" t="s">
        <v>98</v>
      </c>
      <c r="O1" s="58" t="s">
        <v>99</v>
      </c>
      <c r="P1" s="58" t="s">
        <v>100</v>
      </c>
      <c r="Q1" s="58" t="s">
        <v>101</v>
      </c>
    </row>
    <row r="2" spans="1:17" x14ac:dyDescent="0.25">
      <c r="A2">
        <v>101</v>
      </c>
      <c r="B2" t="s">
        <v>51</v>
      </c>
      <c r="C2" t="s">
        <v>73</v>
      </c>
      <c r="D2" t="s">
        <v>89</v>
      </c>
      <c r="E2" t="s">
        <v>80</v>
      </c>
      <c r="F2" t="str">
        <f>SUBSTITUTE(D2," ","xx")</f>
        <v>HxxR</v>
      </c>
      <c r="G2" t="str">
        <f>SUBSTITUTE(B2," ","xx",1)</f>
        <v>Alice</v>
      </c>
      <c r="H2" t="str">
        <f t="shared" ref="H2:H8" si="0">TRIM(D2)</f>
        <v>H R</v>
      </c>
      <c r="I2" t="str">
        <f>SUBSTITUTE(H2," ","")</f>
        <v>HR</v>
      </c>
      <c r="J2" t="str">
        <f>LEFT(C2,2)</f>
        <v>Sm</v>
      </c>
      <c r="K2" t="str">
        <f>LEFT(TRIM(C2),2)</f>
        <v>Sm</v>
      </c>
      <c r="L2" t="str">
        <f>RIGHT(C2,2)</f>
        <v>th</v>
      </c>
      <c r="M2" t="str">
        <f>RIGHT(TRIM(C2),2)</f>
        <v>th</v>
      </c>
      <c r="N2">
        <f>LEN(D2)</f>
        <v>3</v>
      </c>
      <c r="O2">
        <f>LEN(E2)</f>
        <v>12</v>
      </c>
      <c r="P2" t="str">
        <f>LOWER(TRIM(G2))</f>
        <v>alice</v>
      </c>
      <c r="Q2" t="str">
        <f>PROPER(P2)</f>
        <v>Alice</v>
      </c>
    </row>
    <row r="3" spans="1:17" x14ac:dyDescent="0.25">
      <c r="A3">
        <v>102</v>
      </c>
      <c r="B3" t="s">
        <v>52</v>
      </c>
      <c r="C3" t="s">
        <v>74</v>
      </c>
      <c r="D3" t="s">
        <v>62</v>
      </c>
      <c r="E3" t="s">
        <v>81</v>
      </c>
      <c r="F3" t="str">
        <f>SUBSTITUTE(D3," ","xx")</f>
        <v>IT</v>
      </c>
      <c r="G3" t="str">
        <f t="shared" ref="G3:G7" si="1">SUBSTITUTE(B3," ","xx",1)</f>
        <v>Bob</v>
      </c>
      <c r="H3" t="str">
        <f t="shared" si="0"/>
        <v>IT</v>
      </c>
      <c r="I3" t="str">
        <f t="shared" ref="I3:I7" si="2">SUBSTITUTE(H3," ","")</f>
        <v>IT</v>
      </c>
      <c r="J3" t="str">
        <f t="shared" ref="J3:J7" si="3">LEFT(C3,2)</f>
        <v>Jo</v>
      </c>
      <c r="K3" t="str">
        <f t="shared" ref="K3:K7" si="4">LEFT(TRIM(C3),2)</f>
        <v>Jo</v>
      </c>
      <c r="L3" t="str">
        <f t="shared" ref="L3:L7" si="5">RIGHT(C3,2)</f>
        <v>an</v>
      </c>
      <c r="M3" t="str">
        <f t="shared" ref="M3:M7" si="6">RIGHT(TRIM(C3),2)</f>
        <v>an</v>
      </c>
      <c r="N3">
        <f t="shared" ref="N3:N7" si="7">LEN(D3)</f>
        <v>2</v>
      </c>
      <c r="O3">
        <f t="shared" ref="O3:O7" si="8">LEN(E3)</f>
        <v>12</v>
      </c>
      <c r="P3" t="str">
        <f t="shared" ref="P3:P7" si="9">LOWER(TRIM(G3))</f>
        <v>bob</v>
      </c>
      <c r="Q3" t="str">
        <f t="shared" ref="Q3:Q7" si="10">PROPER(P3)</f>
        <v>Bob</v>
      </c>
    </row>
    <row r="4" spans="1:17" x14ac:dyDescent="0.25">
      <c r="A4">
        <v>103</v>
      </c>
      <c r="B4" t="s">
        <v>53</v>
      </c>
      <c r="C4" t="s">
        <v>75</v>
      </c>
      <c r="D4" t="s">
        <v>63</v>
      </c>
      <c r="E4" t="s">
        <v>82</v>
      </c>
      <c r="F4" t="str">
        <f t="shared" ref="F4:F7" si="11">SUBSTITUTE(D4," ","xx")</f>
        <v>Finance</v>
      </c>
      <c r="G4" t="str">
        <f t="shared" si="1"/>
        <v>charli</v>
      </c>
      <c r="H4" t="str">
        <f t="shared" si="0"/>
        <v>Finance</v>
      </c>
      <c r="I4" t="str">
        <f t="shared" si="2"/>
        <v>Finance</v>
      </c>
      <c r="J4" t="str">
        <f t="shared" si="3"/>
        <v>mi</v>
      </c>
      <c r="K4" t="str">
        <f t="shared" si="4"/>
        <v>mi</v>
      </c>
      <c r="L4" t="str">
        <f t="shared" si="5"/>
        <v>ka</v>
      </c>
      <c r="M4" t="str">
        <f t="shared" si="6"/>
        <v>ka</v>
      </c>
      <c r="N4">
        <f t="shared" si="7"/>
        <v>7</v>
      </c>
      <c r="O4">
        <f t="shared" si="8"/>
        <v>11</v>
      </c>
      <c r="P4" t="str">
        <f t="shared" si="9"/>
        <v>charli</v>
      </c>
      <c r="Q4" t="str">
        <f t="shared" si="10"/>
        <v>Charli</v>
      </c>
    </row>
    <row r="5" spans="1:17" x14ac:dyDescent="0.25">
      <c r="A5">
        <v>104</v>
      </c>
      <c r="B5" t="s">
        <v>55</v>
      </c>
      <c r="C5" t="s">
        <v>76</v>
      </c>
      <c r="D5" t="s">
        <v>90</v>
      </c>
      <c r="E5" t="s">
        <v>83</v>
      </c>
      <c r="F5" t="str">
        <f t="shared" si="11"/>
        <v>IxxT</v>
      </c>
      <c r="G5" t="str">
        <f t="shared" si="1"/>
        <v>Carry</v>
      </c>
      <c r="H5" t="str">
        <f t="shared" si="0"/>
        <v>I T</v>
      </c>
      <c r="I5" t="str">
        <f t="shared" si="2"/>
        <v>IT</v>
      </c>
      <c r="J5" t="str">
        <f t="shared" si="3"/>
        <v>si</v>
      </c>
      <c r="K5" t="str">
        <f t="shared" si="4"/>
        <v>si</v>
      </c>
      <c r="L5" t="str">
        <f t="shared" si="5"/>
        <v>iv</v>
      </c>
      <c r="M5" t="str">
        <f t="shared" si="6"/>
        <v>iv</v>
      </c>
      <c r="N5">
        <f t="shared" si="7"/>
        <v>3</v>
      </c>
      <c r="O5">
        <f t="shared" si="8"/>
        <v>12</v>
      </c>
      <c r="P5" t="str">
        <f t="shared" si="9"/>
        <v>carry</v>
      </c>
      <c r="Q5" t="str">
        <f t="shared" si="10"/>
        <v>Carry</v>
      </c>
    </row>
    <row r="6" spans="1:17" x14ac:dyDescent="0.25">
      <c r="A6">
        <v>105</v>
      </c>
      <c r="B6" t="s">
        <v>54</v>
      </c>
      <c r="C6" t="s">
        <v>77</v>
      </c>
      <c r="D6" t="s">
        <v>61</v>
      </c>
      <c r="E6" t="s">
        <v>84</v>
      </c>
      <c r="F6" t="str">
        <f t="shared" si="11"/>
        <v>HR</v>
      </c>
      <c r="G6" t="str">
        <f t="shared" si="1"/>
        <v>Milna</v>
      </c>
      <c r="H6" t="str">
        <f t="shared" si="0"/>
        <v>HR</v>
      </c>
      <c r="I6" t="str">
        <f t="shared" si="2"/>
        <v>HR</v>
      </c>
      <c r="J6" t="str">
        <f t="shared" si="3"/>
        <v>wh</v>
      </c>
      <c r="K6" t="str">
        <f t="shared" si="4"/>
        <v>wh</v>
      </c>
      <c r="L6" t="str">
        <f t="shared" si="5"/>
        <v>te</v>
      </c>
      <c r="M6" t="str">
        <f t="shared" si="6"/>
        <v>te</v>
      </c>
      <c r="N6">
        <f t="shared" si="7"/>
        <v>2</v>
      </c>
      <c r="O6">
        <f t="shared" si="8"/>
        <v>12</v>
      </c>
      <c r="P6" t="str">
        <f t="shared" si="9"/>
        <v>milna</v>
      </c>
      <c r="Q6" t="str">
        <f t="shared" si="10"/>
        <v>Milna</v>
      </c>
    </row>
    <row r="7" spans="1:17" x14ac:dyDescent="0.25">
      <c r="A7">
        <v>107</v>
      </c>
      <c r="B7" t="s">
        <v>57</v>
      </c>
      <c r="C7" t="s">
        <v>78</v>
      </c>
      <c r="D7" t="s">
        <v>62</v>
      </c>
      <c r="E7" t="s">
        <v>85</v>
      </c>
      <c r="F7" t="str">
        <f t="shared" si="11"/>
        <v>IT</v>
      </c>
      <c r="G7" t="str">
        <f t="shared" si="1"/>
        <v>Rockey</v>
      </c>
      <c r="H7" t="str">
        <f t="shared" si="0"/>
        <v>IT</v>
      </c>
      <c r="I7" t="str">
        <f t="shared" si="2"/>
        <v>IT</v>
      </c>
      <c r="J7" t="str">
        <f t="shared" si="3"/>
        <v>ka</v>
      </c>
      <c r="K7" t="str">
        <f t="shared" si="4"/>
        <v>ka</v>
      </c>
      <c r="L7" t="str">
        <f t="shared" si="5"/>
        <v>al</v>
      </c>
      <c r="M7" t="str">
        <f t="shared" si="6"/>
        <v>al</v>
      </c>
      <c r="N7">
        <f t="shared" si="7"/>
        <v>2</v>
      </c>
      <c r="O7">
        <f t="shared" si="8"/>
        <v>12</v>
      </c>
      <c r="P7" t="str">
        <f t="shared" si="9"/>
        <v>rockey</v>
      </c>
      <c r="Q7" t="str">
        <f t="shared" si="10"/>
        <v>Rockey</v>
      </c>
    </row>
    <row r="8" spans="1:17" x14ac:dyDescent="0.25">
      <c r="H8" t="str">
        <f t="shared" si="0"/>
        <v/>
      </c>
    </row>
    <row r="13" spans="1:17" x14ac:dyDescent="0.25">
      <c r="A13" s="102" t="s">
        <v>91</v>
      </c>
      <c r="B13" s="102"/>
      <c r="C13" s="102"/>
      <c r="D13" s="102"/>
      <c r="E13" s="102"/>
      <c r="F13" s="102"/>
    </row>
    <row r="14" spans="1:17" x14ac:dyDescent="0.25">
      <c r="A14" s="102" t="s">
        <v>93</v>
      </c>
      <c r="B14" s="102"/>
      <c r="C14" s="102"/>
    </row>
    <row r="15" spans="1:17" x14ac:dyDescent="0.25">
      <c r="A15" s="102" t="s">
        <v>102</v>
      </c>
      <c r="B15" s="102"/>
      <c r="C15" s="102"/>
      <c r="D15" s="102"/>
      <c r="E15" s="102"/>
    </row>
    <row r="16" spans="1:17" x14ac:dyDescent="0.25">
      <c r="A16" s="102" t="s">
        <v>103</v>
      </c>
      <c r="B16" s="102"/>
      <c r="C16" s="102"/>
      <c r="D16" s="102"/>
      <c r="E16" s="102"/>
      <c r="F16" s="102"/>
    </row>
    <row r="17" spans="1:7" x14ac:dyDescent="0.25">
      <c r="A17" t="s">
        <v>104</v>
      </c>
    </row>
    <row r="18" spans="1:7" x14ac:dyDescent="0.25">
      <c r="A18" s="102" t="s">
        <v>105</v>
      </c>
      <c r="B18" s="102"/>
      <c r="C18" s="102"/>
      <c r="D18" s="102"/>
      <c r="E18" s="102"/>
      <c r="F18" s="102"/>
      <c r="G18" s="102"/>
    </row>
  </sheetData>
  <mergeCells count="5">
    <mergeCell ref="A13:F13"/>
    <mergeCell ref="A14:C14"/>
    <mergeCell ref="A15:E15"/>
    <mergeCell ref="A16:F16"/>
    <mergeCell ref="A18:G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F16" sqref="F16"/>
    </sheetView>
  </sheetViews>
  <sheetFormatPr defaultRowHeight="15" x14ac:dyDescent="0.25"/>
  <cols>
    <col min="1" max="1" width="13.140625" customWidth="1"/>
    <col min="2" max="2" width="14.140625" customWidth="1"/>
    <col min="3" max="3" width="17.140625" customWidth="1"/>
    <col min="4" max="4" width="12.140625" customWidth="1"/>
    <col min="5" max="5" width="20.85546875" customWidth="1"/>
    <col min="6" max="6" width="17.140625" customWidth="1"/>
    <col min="7" max="7" width="14.42578125" customWidth="1"/>
    <col min="8" max="8" width="14.7109375" customWidth="1"/>
    <col min="9" max="9" width="11.28515625" customWidth="1"/>
    <col min="10" max="10" width="12.5703125" customWidth="1"/>
    <col min="12" max="12" width="16.28515625" customWidth="1"/>
  </cols>
  <sheetData>
    <row r="1" spans="1:12" x14ac:dyDescent="0.25">
      <c r="A1" s="55" t="s">
        <v>47</v>
      </c>
      <c r="B1" s="55" t="s">
        <v>72</v>
      </c>
      <c r="C1" s="55" t="s">
        <v>48</v>
      </c>
      <c r="D1" s="59" t="s">
        <v>106</v>
      </c>
      <c r="E1" s="59" t="s">
        <v>107</v>
      </c>
      <c r="F1" s="58" t="s">
        <v>114</v>
      </c>
      <c r="G1" s="58" t="s">
        <v>115</v>
      </c>
      <c r="H1" s="58" t="s">
        <v>116</v>
      </c>
      <c r="I1" s="58" t="s">
        <v>117</v>
      </c>
      <c r="J1" s="58" t="s">
        <v>118</v>
      </c>
      <c r="K1" s="58" t="s">
        <v>119</v>
      </c>
      <c r="L1" s="58" t="s">
        <v>123</v>
      </c>
    </row>
    <row r="2" spans="1:12" x14ac:dyDescent="0.25">
      <c r="A2" t="s">
        <v>51</v>
      </c>
      <c r="B2" t="s">
        <v>73</v>
      </c>
      <c r="C2" t="s">
        <v>89</v>
      </c>
      <c r="D2">
        <v>150</v>
      </c>
      <c r="E2" t="s">
        <v>112</v>
      </c>
      <c r="F2" t="str">
        <f>CONCATENATE(D2,E2)</f>
        <v>150Yes</v>
      </c>
      <c r="G2" t="str">
        <f>CONCATENATE(D2," ",E2)</f>
        <v>150 Yes</v>
      </c>
      <c r="H2" t="str">
        <f>CONCATENATE(D2,"-",E2)</f>
        <v>150-Yes</v>
      </c>
      <c r="I2">
        <f>COUNTIF(E2:E11,"Yes")</f>
        <v>6</v>
      </c>
      <c r="J2">
        <f>COUNTIF(E2:E11,"No")</f>
        <v>4</v>
      </c>
      <c r="K2">
        <f>IF(E2="Yes",1,0)</f>
        <v>1</v>
      </c>
      <c r="L2">
        <f>IF(E2="Yes",IF(C2="H R",5,1),0)</f>
        <v>5</v>
      </c>
    </row>
    <row r="3" spans="1:12" x14ac:dyDescent="0.25">
      <c r="A3" t="s">
        <v>52</v>
      </c>
      <c r="B3" t="s">
        <v>74</v>
      </c>
      <c r="C3" t="s">
        <v>62</v>
      </c>
      <c r="D3">
        <v>188</v>
      </c>
      <c r="E3" t="s">
        <v>112</v>
      </c>
      <c r="F3" t="str">
        <f t="shared" ref="F3:F11" si="0">CONCATENATE(D3,E3)</f>
        <v>188Yes</v>
      </c>
      <c r="G3" t="str">
        <f t="shared" ref="G3:G11" si="1">CONCATENATE(D3," ",E3)</f>
        <v>188 Yes</v>
      </c>
      <c r="H3" t="str">
        <f t="shared" ref="H3:H11" si="2">CONCATENATE(D3,"-",E3)</f>
        <v>188-Yes</v>
      </c>
      <c r="K3">
        <f t="shared" ref="K3:K11" si="3">IF(E3="Yes",1,0)</f>
        <v>1</v>
      </c>
      <c r="L3">
        <f t="shared" ref="L3:L11" si="4">IF(E3="Yes",IF(C3="H R",5,1),0)</f>
        <v>1</v>
      </c>
    </row>
    <row r="4" spans="1:12" x14ac:dyDescent="0.25">
      <c r="A4" t="s">
        <v>53</v>
      </c>
      <c r="B4" t="s">
        <v>75</v>
      </c>
      <c r="C4" t="s">
        <v>63</v>
      </c>
      <c r="D4">
        <v>190</v>
      </c>
      <c r="E4" t="s">
        <v>113</v>
      </c>
      <c r="F4" t="str">
        <f t="shared" si="0"/>
        <v>190No</v>
      </c>
      <c r="G4" t="str">
        <f t="shared" si="1"/>
        <v>190 No</v>
      </c>
      <c r="H4" t="str">
        <f t="shared" si="2"/>
        <v>190-No</v>
      </c>
      <c r="K4">
        <f t="shared" si="3"/>
        <v>0</v>
      </c>
      <c r="L4">
        <f t="shared" si="4"/>
        <v>0</v>
      </c>
    </row>
    <row r="5" spans="1:12" x14ac:dyDescent="0.25">
      <c r="A5" t="s">
        <v>55</v>
      </c>
      <c r="B5" t="s">
        <v>76</v>
      </c>
      <c r="C5" t="s">
        <v>90</v>
      </c>
      <c r="D5">
        <v>210</v>
      </c>
      <c r="E5" t="s">
        <v>113</v>
      </c>
      <c r="F5" t="str">
        <f t="shared" si="0"/>
        <v>210No</v>
      </c>
      <c r="G5" t="str">
        <f t="shared" si="1"/>
        <v>210 No</v>
      </c>
      <c r="H5" t="str">
        <f t="shared" si="2"/>
        <v>210-No</v>
      </c>
      <c r="K5">
        <f t="shared" si="3"/>
        <v>0</v>
      </c>
      <c r="L5">
        <f t="shared" si="4"/>
        <v>0</v>
      </c>
    </row>
    <row r="6" spans="1:12" x14ac:dyDescent="0.25">
      <c r="A6" t="s">
        <v>54</v>
      </c>
      <c r="B6" t="s">
        <v>77</v>
      </c>
      <c r="C6" t="s">
        <v>61</v>
      </c>
      <c r="D6">
        <v>230</v>
      </c>
      <c r="E6" t="s">
        <v>112</v>
      </c>
      <c r="F6" t="str">
        <f t="shared" si="0"/>
        <v>230Yes</v>
      </c>
      <c r="G6" t="str">
        <f t="shared" si="1"/>
        <v>230 Yes</v>
      </c>
      <c r="H6" t="str">
        <f t="shared" si="2"/>
        <v>230-Yes</v>
      </c>
      <c r="K6">
        <f t="shared" si="3"/>
        <v>1</v>
      </c>
      <c r="L6">
        <f>IF(E6="Yes",IF(C6="HR",5,1),0)</f>
        <v>5</v>
      </c>
    </row>
    <row r="7" spans="1:12" x14ac:dyDescent="0.25">
      <c r="A7" t="s">
        <v>57</v>
      </c>
      <c r="B7" t="s">
        <v>78</v>
      </c>
      <c r="C7" t="s">
        <v>62</v>
      </c>
      <c r="D7">
        <v>250</v>
      </c>
      <c r="E7" t="s">
        <v>113</v>
      </c>
      <c r="F7" t="str">
        <f t="shared" si="0"/>
        <v>250No</v>
      </c>
      <c r="G7" t="str">
        <f t="shared" si="1"/>
        <v>250 No</v>
      </c>
      <c r="H7" t="str">
        <f t="shared" si="2"/>
        <v>250-No</v>
      </c>
      <c r="K7">
        <f t="shared" si="3"/>
        <v>0</v>
      </c>
      <c r="L7">
        <f t="shared" si="4"/>
        <v>0</v>
      </c>
    </row>
    <row r="8" spans="1:12" x14ac:dyDescent="0.25">
      <c r="A8" t="s">
        <v>108</v>
      </c>
      <c r="B8" t="s">
        <v>75</v>
      </c>
      <c r="C8" t="s">
        <v>63</v>
      </c>
      <c r="D8">
        <v>210</v>
      </c>
      <c r="E8" t="s">
        <v>112</v>
      </c>
      <c r="F8" t="str">
        <f t="shared" si="0"/>
        <v>210Yes</v>
      </c>
      <c r="G8" t="str">
        <f t="shared" si="1"/>
        <v>210 Yes</v>
      </c>
      <c r="H8" t="str">
        <f t="shared" si="2"/>
        <v>210-Yes</v>
      </c>
      <c r="K8">
        <f t="shared" si="3"/>
        <v>1</v>
      </c>
      <c r="L8">
        <f t="shared" si="4"/>
        <v>1</v>
      </c>
    </row>
    <row r="9" spans="1:12" x14ac:dyDescent="0.25">
      <c r="A9" t="s">
        <v>55</v>
      </c>
      <c r="B9" t="s">
        <v>109</v>
      </c>
      <c r="C9" t="s">
        <v>90</v>
      </c>
      <c r="D9">
        <v>245</v>
      </c>
      <c r="E9" t="s">
        <v>113</v>
      </c>
      <c r="F9" t="str">
        <f t="shared" si="0"/>
        <v>245No</v>
      </c>
      <c r="G9" t="str">
        <f t="shared" si="1"/>
        <v>245 No</v>
      </c>
      <c r="H9" t="str">
        <f t="shared" si="2"/>
        <v>245-No</v>
      </c>
      <c r="K9">
        <f t="shared" si="3"/>
        <v>0</v>
      </c>
      <c r="L9">
        <f t="shared" si="4"/>
        <v>0</v>
      </c>
    </row>
    <row r="10" spans="1:12" x14ac:dyDescent="0.25">
      <c r="A10" t="s">
        <v>110</v>
      </c>
      <c r="B10" t="s">
        <v>77</v>
      </c>
      <c r="C10" t="s">
        <v>61</v>
      </c>
      <c r="D10">
        <v>244</v>
      </c>
      <c r="E10" t="s">
        <v>112</v>
      </c>
      <c r="F10" t="str">
        <f t="shared" si="0"/>
        <v>244Yes</v>
      </c>
      <c r="G10" t="str">
        <f t="shared" si="1"/>
        <v>244 Yes</v>
      </c>
      <c r="H10" t="str">
        <f t="shared" si="2"/>
        <v>244-Yes</v>
      </c>
      <c r="K10">
        <f t="shared" si="3"/>
        <v>1</v>
      </c>
      <c r="L10">
        <f>IF(E10="Yes",IF(C10="HR",5,1),0)</f>
        <v>5</v>
      </c>
    </row>
    <row r="11" spans="1:12" x14ac:dyDescent="0.25">
      <c r="A11" t="s">
        <v>111</v>
      </c>
      <c r="B11" t="s">
        <v>78</v>
      </c>
      <c r="C11" t="s">
        <v>62</v>
      </c>
      <c r="D11">
        <v>230</v>
      </c>
      <c r="E11" t="s">
        <v>112</v>
      </c>
      <c r="F11" t="str">
        <f t="shared" si="0"/>
        <v>230Yes</v>
      </c>
      <c r="G11" t="str">
        <f t="shared" si="1"/>
        <v>230 Yes</v>
      </c>
      <c r="H11" t="str">
        <f t="shared" si="2"/>
        <v>230-Yes</v>
      </c>
      <c r="K11">
        <f t="shared" si="3"/>
        <v>1</v>
      </c>
      <c r="L11">
        <f t="shared" si="4"/>
        <v>1</v>
      </c>
    </row>
    <row r="16" spans="1:12" x14ac:dyDescent="0.25">
      <c r="E16" t="s">
        <v>114</v>
      </c>
    </row>
    <row r="17" spans="5:5" x14ac:dyDescent="0.25">
      <c r="E17" t="s">
        <v>120</v>
      </c>
    </row>
    <row r="18" spans="5:5" x14ac:dyDescent="0.25">
      <c r="E18" t="s">
        <v>118</v>
      </c>
    </row>
    <row r="19" spans="5:5" x14ac:dyDescent="0.25">
      <c r="E19" t="s">
        <v>121</v>
      </c>
    </row>
    <row r="20" spans="5:5" x14ac:dyDescent="0.25">
      <c r="E20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I7" sqref="I7:J7"/>
    </sheetView>
  </sheetViews>
  <sheetFormatPr defaultRowHeight="15" x14ac:dyDescent="0.25"/>
  <cols>
    <col min="5" max="5" width="17.5703125" customWidth="1"/>
    <col min="6" max="6" width="20.28515625" customWidth="1"/>
    <col min="7" max="7" width="21.42578125" customWidth="1"/>
    <col min="8" max="9" width="17.28515625" customWidth="1"/>
  </cols>
  <sheetData>
    <row r="1" spans="1:8" x14ac:dyDescent="0.25">
      <c r="A1" s="55" t="s">
        <v>47</v>
      </c>
      <c r="B1" s="55" t="s">
        <v>72</v>
      </c>
      <c r="C1" s="55" t="s">
        <v>48</v>
      </c>
      <c r="D1" s="59" t="s">
        <v>106</v>
      </c>
      <c r="E1" s="59" t="s">
        <v>107</v>
      </c>
      <c r="F1" s="58" t="s">
        <v>124</v>
      </c>
      <c r="G1" s="58" t="s">
        <v>178</v>
      </c>
      <c r="H1" s="58" t="s">
        <v>122</v>
      </c>
    </row>
    <row r="2" spans="1:8" x14ac:dyDescent="0.25">
      <c r="A2" t="s">
        <v>51</v>
      </c>
      <c r="B2" t="s">
        <v>73</v>
      </c>
      <c r="C2" t="s">
        <v>89</v>
      </c>
      <c r="D2">
        <v>150</v>
      </c>
      <c r="E2" t="s">
        <v>112</v>
      </c>
      <c r="F2">
        <f>COUNTIF(D2:D12,"&lt;200")</f>
        <v>3</v>
      </c>
      <c r="G2">
        <f>COUNTIF(D2:D11,"&gt;200")</f>
        <v>7</v>
      </c>
      <c r="H2">
        <f>IF(C4="Finance",IF(D2&gt;=200,1,0),4)</f>
        <v>0</v>
      </c>
    </row>
    <row r="3" spans="1:8" x14ac:dyDescent="0.25">
      <c r="A3" t="s">
        <v>52</v>
      </c>
      <c r="B3" t="s">
        <v>74</v>
      </c>
      <c r="C3" t="s">
        <v>62</v>
      </c>
      <c r="D3">
        <v>188</v>
      </c>
      <c r="E3" t="s">
        <v>112</v>
      </c>
      <c r="H3">
        <f t="shared" ref="H3:H11" si="0">IF(C5="Finance",IF(D3&gt;=200,1,0),4)</f>
        <v>4</v>
      </c>
    </row>
    <row r="4" spans="1:8" x14ac:dyDescent="0.25">
      <c r="A4" t="s">
        <v>53</v>
      </c>
      <c r="B4" t="s">
        <v>75</v>
      </c>
      <c r="C4" t="s">
        <v>63</v>
      </c>
      <c r="D4">
        <v>190</v>
      </c>
      <c r="E4" t="s">
        <v>113</v>
      </c>
      <c r="H4">
        <f>IF(C6="Finance",IF(D4&gt;=200,1,0),4)</f>
        <v>4</v>
      </c>
    </row>
    <row r="5" spans="1:8" x14ac:dyDescent="0.25">
      <c r="A5" t="s">
        <v>55</v>
      </c>
      <c r="B5" t="s">
        <v>76</v>
      </c>
      <c r="C5" t="s">
        <v>90</v>
      </c>
      <c r="D5">
        <v>210</v>
      </c>
      <c r="E5" t="s">
        <v>113</v>
      </c>
      <c r="H5">
        <f t="shared" si="0"/>
        <v>4</v>
      </c>
    </row>
    <row r="6" spans="1:8" x14ac:dyDescent="0.25">
      <c r="A6" t="s">
        <v>54</v>
      </c>
      <c r="B6" t="s">
        <v>77</v>
      </c>
      <c r="C6" t="s">
        <v>61</v>
      </c>
      <c r="D6">
        <v>230</v>
      </c>
      <c r="E6" t="s">
        <v>112</v>
      </c>
      <c r="H6">
        <f t="shared" si="0"/>
        <v>1</v>
      </c>
    </row>
    <row r="7" spans="1:8" x14ac:dyDescent="0.25">
      <c r="A7" t="s">
        <v>57</v>
      </c>
      <c r="B7" t="s">
        <v>78</v>
      </c>
      <c r="C7" t="s">
        <v>62</v>
      </c>
      <c r="D7">
        <v>250</v>
      </c>
      <c r="E7" t="s">
        <v>113</v>
      </c>
      <c r="H7">
        <f t="shared" si="0"/>
        <v>4</v>
      </c>
    </row>
    <row r="8" spans="1:8" x14ac:dyDescent="0.25">
      <c r="A8" t="s">
        <v>108</v>
      </c>
      <c r="B8" t="s">
        <v>75</v>
      </c>
      <c r="C8" t="s">
        <v>63</v>
      </c>
      <c r="D8">
        <v>210</v>
      </c>
      <c r="E8" t="s">
        <v>112</v>
      </c>
      <c r="H8">
        <f>IF(C10="Finance",IF(D8&gt;=200,1,0),4)</f>
        <v>4</v>
      </c>
    </row>
    <row r="9" spans="1:8" x14ac:dyDescent="0.25">
      <c r="A9" t="s">
        <v>55</v>
      </c>
      <c r="B9" t="s">
        <v>109</v>
      </c>
      <c r="C9" t="s">
        <v>90</v>
      </c>
      <c r="D9">
        <v>245</v>
      </c>
      <c r="E9" t="s">
        <v>113</v>
      </c>
      <c r="H9">
        <f t="shared" si="0"/>
        <v>4</v>
      </c>
    </row>
    <row r="10" spans="1:8" x14ac:dyDescent="0.25">
      <c r="A10" t="s">
        <v>110</v>
      </c>
      <c r="B10" t="s">
        <v>77</v>
      </c>
      <c r="C10" t="s">
        <v>61</v>
      </c>
      <c r="D10">
        <v>244</v>
      </c>
      <c r="E10" t="s">
        <v>112</v>
      </c>
      <c r="H10">
        <f t="shared" si="0"/>
        <v>4</v>
      </c>
    </row>
    <row r="11" spans="1:8" x14ac:dyDescent="0.25">
      <c r="A11" t="s">
        <v>111</v>
      </c>
      <c r="B11" t="s">
        <v>78</v>
      </c>
      <c r="C11" t="s">
        <v>62</v>
      </c>
      <c r="D11">
        <v>230</v>
      </c>
      <c r="E11" t="s">
        <v>112</v>
      </c>
      <c r="H11">
        <f t="shared" si="0"/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>
      <selection activeCell="J10" sqref="J10"/>
    </sheetView>
  </sheetViews>
  <sheetFormatPr defaultRowHeight="15" x14ac:dyDescent="0.25"/>
  <cols>
    <col min="3" max="3" width="14" customWidth="1"/>
    <col min="4" max="4" width="14.28515625" customWidth="1"/>
    <col min="5" max="5" width="11.7109375" customWidth="1"/>
    <col min="9" max="9" width="10.42578125" customWidth="1"/>
  </cols>
  <sheetData>
    <row r="2" spans="1:11" x14ac:dyDescent="0.25">
      <c r="A2" s="65" t="s">
        <v>26</v>
      </c>
      <c r="B2" s="65" t="s">
        <v>125</v>
      </c>
      <c r="C2" s="65" t="s">
        <v>148</v>
      </c>
      <c r="D2" s="65" t="s">
        <v>129</v>
      </c>
      <c r="E2" s="65" t="s">
        <v>130</v>
      </c>
      <c r="F2" s="72"/>
    </row>
    <row r="3" spans="1:11" x14ac:dyDescent="0.25">
      <c r="A3" s="70">
        <v>45536</v>
      </c>
      <c r="B3" s="69" t="s">
        <v>126</v>
      </c>
      <c r="C3" s="69" t="s">
        <v>51</v>
      </c>
      <c r="D3" s="69">
        <v>10</v>
      </c>
      <c r="E3" s="71">
        <v>200</v>
      </c>
      <c r="F3" s="72"/>
      <c r="I3" t="s">
        <v>174</v>
      </c>
      <c r="J3" s="96">
        <f>SUMIF(B3:B22,"Widget A",E3:E22)</f>
        <v>1530</v>
      </c>
    </row>
    <row r="4" spans="1:11" x14ac:dyDescent="0.25">
      <c r="A4" s="73">
        <v>45536</v>
      </c>
      <c r="B4" s="74" t="s">
        <v>127</v>
      </c>
      <c r="C4" s="74" t="s">
        <v>52</v>
      </c>
      <c r="D4" s="74">
        <v>5</v>
      </c>
      <c r="E4" s="75">
        <v>150</v>
      </c>
      <c r="F4" s="72"/>
      <c r="I4" t="s">
        <v>175</v>
      </c>
      <c r="J4">
        <f>AVERAGEIF(B3:B22,"Widget A",E3:E22)</f>
        <v>191.25</v>
      </c>
    </row>
    <row r="5" spans="1:11" x14ac:dyDescent="0.25">
      <c r="A5" s="73">
        <v>45537</v>
      </c>
      <c r="B5" s="74" t="s">
        <v>126</v>
      </c>
      <c r="C5" s="74" t="s">
        <v>150</v>
      </c>
      <c r="D5" s="74">
        <v>7</v>
      </c>
      <c r="E5" s="75">
        <v>140</v>
      </c>
      <c r="F5" s="72"/>
      <c r="I5" t="s">
        <v>176</v>
      </c>
      <c r="J5">
        <f>COUNTIF(E2:E22,"&gt;150")</f>
        <v>12</v>
      </c>
      <c r="K5">
        <f>COUNTIF(E3:E22,"&lt;150")</f>
        <v>6</v>
      </c>
    </row>
    <row r="6" spans="1:11" x14ac:dyDescent="0.25">
      <c r="A6" s="73">
        <v>45537</v>
      </c>
      <c r="B6" s="74" t="s">
        <v>128</v>
      </c>
      <c r="C6" s="74" t="s">
        <v>51</v>
      </c>
      <c r="D6" s="74">
        <v>15</v>
      </c>
      <c r="E6" s="75">
        <v>300</v>
      </c>
      <c r="F6" s="72"/>
      <c r="I6" t="s">
        <v>153</v>
      </c>
      <c r="J6" t="e">
        <f ca="1">Minifs(E3:E22,B3:B22,"widget A")</f>
        <v>#NAME?</v>
      </c>
    </row>
    <row r="7" spans="1:11" x14ac:dyDescent="0.25">
      <c r="A7" s="73">
        <v>45538</v>
      </c>
      <c r="B7" s="74" t="s">
        <v>127</v>
      </c>
      <c r="C7" s="74" t="s">
        <v>150</v>
      </c>
      <c r="D7" s="74">
        <v>8</v>
      </c>
      <c r="E7" s="75">
        <v>240</v>
      </c>
      <c r="F7" s="72"/>
      <c r="I7" t="s">
        <v>177</v>
      </c>
      <c r="J7" s="96" t="e">
        <f ca="1">MaxIFs(E3:E22,B2:B22,"Widget A")</f>
        <v>#NAME?</v>
      </c>
    </row>
    <row r="8" spans="1:11" x14ac:dyDescent="0.25">
      <c r="A8" s="73">
        <v>45538</v>
      </c>
      <c r="B8" s="74" t="s">
        <v>126</v>
      </c>
      <c r="C8" s="74" t="s">
        <v>52</v>
      </c>
      <c r="D8" s="74">
        <v>12</v>
      </c>
      <c r="E8" s="75">
        <v>240</v>
      </c>
      <c r="F8" s="72"/>
      <c r="I8" t="s">
        <v>44</v>
      </c>
      <c r="J8" s="96">
        <f>MIN(E3:E22)</f>
        <v>100</v>
      </c>
    </row>
    <row r="9" spans="1:11" x14ac:dyDescent="0.25">
      <c r="A9" s="73">
        <v>45539</v>
      </c>
      <c r="B9" s="74" t="s">
        <v>128</v>
      </c>
      <c r="C9" s="74" t="s">
        <v>51</v>
      </c>
      <c r="D9" s="74">
        <v>6</v>
      </c>
      <c r="E9" s="75">
        <v>120</v>
      </c>
      <c r="F9" s="72"/>
      <c r="I9" t="s">
        <v>43</v>
      </c>
      <c r="J9" s="96">
        <f>MAX(E3:E22)</f>
        <v>300</v>
      </c>
    </row>
    <row r="10" spans="1:11" x14ac:dyDescent="0.25">
      <c r="A10" s="73">
        <v>45539</v>
      </c>
      <c r="B10" s="74" t="s">
        <v>127</v>
      </c>
      <c r="C10" s="74" t="s">
        <v>52</v>
      </c>
      <c r="D10" s="74">
        <v>10</v>
      </c>
      <c r="E10" s="75">
        <v>300</v>
      </c>
      <c r="F10" s="72"/>
    </row>
    <row r="11" spans="1:11" x14ac:dyDescent="0.25">
      <c r="A11" s="73">
        <v>45540</v>
      </c>
      <c r="B11" s="74" t="s">
        <v>126</v>
      </c>
      <c r="C11" s="74" t="s">
        <v>150</v>
      </c>
      <c r="D11" s="74">
        <v>8</v>
      </c>
      <c r="E11" s="75">
        <v>160</v>
      </c>
      <c r="F11" s="72"/>
    </row>
    <row r="12" spans="1:11" x14ac:dyDescent="0.25">
      <c r="A12" s="73">
        <v>45540</v>
      </c>
      <c r="B12" s="74" t="s">
        <v>128</v>
      </c>
      <c r="C12" s="74" t="s">
        <v>52</v>
      </c>
      <c r="D12" s="74">
        <v>5</v>
      </c>
      <c r="E12" s="75">
        <v>100</v>
      </c>
      <c r="F12" s="72"/>
    </row>
    <row r="13" spans="1:11" x14ac:dyDescent="0.25">
      <c r="A13" s="70">
        <v>45536</v>
      </c>
      <c r="B13" s="69" t="s">
        <v>126</v>
      </c>
      <c r="C13" s="69" t="s">
        <v>51</v>
      </c>
      <c r="D13" s="69">
        <v>10</v>
      </c>
      <c r="E13" s="71">
        <v>250</v>
      </c>
      <c r="F13" s="72"/>
    </row>
    <row r="14" spans="1:11" x14ac:dyDescent="0.25">
      <c r="A14" s="73">
        <v>45536</v>
      </c>
      <c r="B14" s="74" t="s">
        <v>127</v>
      </c>
      <c r="C14" s="74" t="s">
        <v>52</v>
      </c>
      <c r="D14" s="74">
        <v>5</v>
      </c>
      <c r="E14" s="75">
        <v>150</v>
      </c>
      <c r="F14" s="72"/>
    </row>
    <row r="15" spans="1:11" x14ac:dyDescent="0.25">
      <c r="A15" s="73">
        <v>45537</v>
      </c>
      <c r="B15" s="74" t="s">
        <v>126</v>
      </c>
      <c r="C15" s="74" t="s">
        <v>150</v>
      </c>
      <c r="D15" s="74">
        <v>7</v>
      </c>
      <c r="E15" s="75">
        <v>140</v>
      </c>
      <c r="F15" s="72"/>
    </row>
    <row r="16" spans="1:11" x14ac:dyDescent="0.25">
      <c r="A16" s="73">
        <v>45537</v>
      </c>
      <c r="B16" s="74" t="s">
        <v>128</v>
      </c>
      <c r="C16" s="74" t="s">
        <v>51</v>
      </c>
      <c r="D16" s="74">
        <v>15</v>
      </c>
      <c r="E16" s="75">
        <v>300</v>
      </c>
      <c r="F16" s="72"/>
    </row>
    <row r="17" spans="1:6" x14ac:dyDescent="0.25">
      <c r="A17" s="73">
        <v>45538</v>
      </c>
      <c r="B17" s="74" t="s">
        <v>127</v>
      </c>
      <c r="C17" s="74" t="s">
        <v>150</v>
      </c>
      <c r="D17" s="74">
        <v>8</v>
      </c>
      <c r="E17" s="75">
        <v>240</v>
      </c>
      <c r="F17" s="72"/>
    </row>
    <row r="18" spans="1:6" x14ac:dyDescent="0.25">
      <c r="A18" s="73">
        <v>45538</v>
      </c>
      <c r="B18" s="74" t="s">
        <v>126</v>
      </c>
      <c r="C18" s="74" t="s">
        <v>52</v>
      </c>
      <c r="D18" s="74">
        <v>12</v>
      </c>
      <c r="E18" s="75">
        <v>240</v>
      </c>
      <c r="F18" s="72"/>
    </row>
    <row r="19" spans="1:6" x14ac:dyDescent="0.25">
      <c r="A19" s="73">
        <v>45539</v>
      </c>
      <c r="B19" s="74" t="s">
        <v>128</v>
      </c>
      <c r="C19" s="74" t="s">
        <v>51</v>
      </c>
      <c r="D19" s="74">
        <v>6</v>
      </c>
      <c r="E19" s="75">
        <v>120</v>
      </c>
      <c r="F19" s="72"/>
    </row>
    <row r="20" spans="1:6" x14ac:dyDescent="0.25">
      <c r="A20" s="73">
        <v>45539</v>
      </c>
      <c r="B20" s="74" t="s">
        <v>127</v>
      </c>
      <c r="C20" s="74" t="s">
        <v>52</v>
      </c>
      <c r="D20" s="74">
        <v>10</v>
      </c>
      <c r="E20" s="75">
        <v>300</v>
      </c>
      <c r="F20" s="72"/>
    </row>
    <row r="21" spans="1:6" x14ac:dyDescent="0.25">
      <c r="A21" s="73">
        <v>45540</v>
      </c>
      <c r="B21" s="74" t="s">
        <v>126</v>
      </c>
      <c r="C21" s="74" t="s">
        <v>150</v>
      </c>
      <c r="D21" s="74">
        <v>8</v>
      </c>
      <c r="E21" s="75">
        <v>160</v>
      </c>
      <c r="F21" s="72"/>
    </row>
    <row r="22" spans="1:6" x14ac:dyDescent="0.25">
      <c r="A22" s="73">
        <v>45540</v>
      </c>
      <c r="B22" s="74" t="s">
        <v>128</v>
      </c>
      <c r="C22" s="74" t="s">
        <v>52</v>
      </c>
      <c r="D22" s="74">
        <v>5</v>
      </c>
      <c r="E22" s="75">
        <v>100</v>
      </c>
      <c r="F22" s="7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workbookViewId="0">
      <selection activeCell="F22" sqref="A2:F22"/>
    </sheetView>
  </sheetViews>
  <sheetFormatPr defaultRowHeight="15" x14ac:dyDescent="0.25"/>
  <cols>
    <col min="1" max="1" width="15.5703125" customWidth="1"/>
    <col min="2" max="2" width="13.140625" customWidth="1"/>
    <col min="3" max="3" width="14" customWidth="1"/>
    <col min="4" max="4" width="13.140625" customWidth="1"/>
    <col min="5" max="5" width="13" customWidth="1"/>
  </cols>
  <sheetData>
    <row r="2" spans="1:9" ht="30" x14ac:dyDescent="0.25">
      <c r="A2" s="65" t="s">
        <v>26</v>
      </c>
      <c r="B2" s="65" t="s">
        <v>125</v>
      </c>
      <c r="C2" s="65" t="s">
        <v>148</v>
      </c>
      <c r="D2" s="65" t="s">
        <v>129</v>
      </c>
      <c r="E2" s="65" t="s">
        <v>130</v>
      </c>
      <c r="F2" s="64"/>
      <c r="G2" s="64"/>
      <c r="H2" s="64"/>
      <c r="I2" s="64"/>
    </row>
    <row r="3" spans="1:9" x14ac:dyDescent="0.25">
      <c r="A3" s="70">
        <v>45536</v>
      </c>
      <c r="B3" s="69" t="s">
        <v>126</v>
      </c>
      <c r="C3" s="69" t="s">
        <v>51</v>
      </c>
      <c r="D3" s="69">
        <v>10</v>
      </c>
      <c r="E3" s="71">
        <v>200</v>
      </c>
      <c r="F3" s="64"/>
      <c r="G3" s="64"/>
      <c r="H3" s="64" t="s">
        <v>149</v>
      </c>
      <c r="I3" s="64">
        <v>450</v>
      </c>
    </row>
    <row r="4" spans="1:9" x14ac:dyDescent="0.25">
      <c r="A4" s="66">
        <v>45536</v>
      </c>
      <c r="B4" s="67" t="s">
        <v>127</v>
      </c>
      <c r="C4" s="67" t="s">
        <v>52</v>
      </c>
      <c r="D4" s="67">
        <v>5</v>
      </c>
      <c r="E4" s="68">
        <v>150</v>
      </c>
      <c r="F4" s="64"/>
      <c r="G4" s="64"/>
      <c r="H4" s="64"/>
      <c r="I4" s="64"/>
    </row>
    <row r="5" spans="1:9" x14ac:dyDescent="0.25">
      <c r="A5" s="66">
        <v>45537</v>
      </c>
      <c r="B5" s="67" t="s">
        <v>126</v>
      </c>
      <c r="C5" s="67" t="s">
        <v>150</v>
      </c>
      <c r="D5" s="67">
        <v>7</v>
      </c>
      <c r="E5" s="68">
        <v>140</v>
      </c>
      <c r="F5" s="64"/>
      <c r="G5" s="64"/>
      <c r="H5" s="64" t="s">
        <v>151</v>
      </c>
      <c r="I5" s="64">
        <v>225</v>
      </c>
    </row>
    <row r="6" spans="1:9" x14ac:dyDescent="0.25">
      <c r="A6" s="66">
        <v>45537</v>
      </c>
      <c r="B6" s="67" t="s">
        <v>128</v>
      </c>
      <c r="C6" s="67" t="s">
        <v>51</v>
      </c>
      <c r="D6" s="67">
        <v>15</v>
      </c>
      <c r="E6" s="68">
        <v>300</v>
      </c>
      <c r="F6" s="64"/>
      <c r="G6" s="64"/>
      <c r="H6" s="64"/>
      <c r="I6" s="64"/>
    </row>
    <row r="7" spans="1:9" x14ac:dyDescent="0.25">
      <c r="A7" s="66">
        <v>45538</v>
      </c>
      <c r="B7" s="67" t="s">
        <v>127</v>
      </c>
      <c r="C7" s="67" t="s">
        <v>150</v>
      </c>
      <c r="D7" s="67">
        <v>8</v>
      </c>
      <c r="E7" s="68">
        <v>240</v>
      </c>
      <c r="F7" s="64"/>
      <c r="G7" s="64"/>
      <c r="H7" s="64" t="s">
        <v>152</v>
      </c>
      <c r="I7" s="64">
        <v>2</v>
      </c>
    </row>
    <row r="8" spans="1:9" x14ac:dyDescent="0.25">
      <c r="A8" s="66">
        <v>45538</v>
      </c>
      <c r="B8" s="67" t="s">
        <v>126</v>
      </c>
      <c r="C8" s="67" t="s">
        <v>52</v>
      </c>
      <c r="D8" s="67">
        <v>12</v>
      </c>
      <c r="E8" s="68">
        <v>240</v>
      </c>
      <c r="F8" s="64"/>
      <c r="G8" s="64"/>
      <c r="H8" s="64"/>
      <c r="I8" s="64"/>
    </row>
    <row r="9" spans="1:9" x14ac:dyDescent="0.25">
      <c r="A9" s="66">
        <v>45539</v>
      </c>
      <c r="B9" s="67" t="s">
        <v>128</v>
      </c>
      <c r="C9" s="67" t="s">
        <v>51</v>
      </c>
      <c r="D9" s="67">
        <v>6</v>
      </c>
      <c r="E9" s="68">
        <v>120</v>
      </c>
      <c r="F9" s="64"/>
      <c r="G9" s="64"/>
      <c r="H9" s="64" t="s">
        <v>153</v>
      </c>
      <c r="I9" s="64">
        <v>200</v>
      </c>
    </row>
    <row r="10" spans="1:9" x14ac:dyDescent="0.25">
      <c r="A10" s="66">
        <v>45539</v>
      </c>
      <c r="B10" s="67" t="s">
        <v>127</v>
      </c>
      <c r="C10" s="67" t="s">
        <v>52</v>
      </c>
      <c r="D10" s="67">
        <v>10</v>
      </c>
      <c r="E10" s="68">
        <v>300</v>
      </c>
      <c r="F10" s="64"/>
      <c r="G10" s="64"/>
      <c r="H10" s="64"/>
      <c r="I10" s="64"/>
    </row>
    <row r="11" spans="1:9" x14ac:dyDescent="0.25">
      <c r="A11" s="66">
        <v>45540</v>
      </c>
      <c r="B11" s="67" t="s">
        <v>126</v>
      </c>
      <c r="C11" s="67" t="s">
        <v>150</v>
      </c>
      <c r="D11" s="67">
        <v>8</v>
      </c>
      <c r="E11" s="68">
        <v>160</v>
      </c>
      <c r="F11" s="64"/>
      <c r="G11" s="64"/>
      <c r="H11" s="64" t="s">
        <v>154</v>
      </c>
      <c r="I11" s="64">
        <v>250</v>
      </c>
    </row>
    <row r="12" spans="1:9" x14ac:dyDescent="0.25">
      <c r="A12" s="66">
        <v>45540</v>
      </c>
      <c r="B12" s="67" t="s">
        <v>128</v>
      </c>
      <c r="C12" s="67" t="s">
        <v>52</v>
      </c>
      <c r="D12" s="67">
        <v>5</v>
      </c>
      <c r="E12" s="68">
        <v>100</v>
      </c>
      <c r="F12" s="64"/>
      <c r="G12" s="64"/>
      <c r="H12" s="64"/>
      <c r="I12" s="64"/>
    </row>
    <row r="13" spans="1:9" x14ac:dyDescent="0.25">
      <c r="A13" s="70">
        <v>45536</v>
      </c>
      <c r="B13" s="69" t="s">
        <v>126</v>
      </c>
      <c r="C13" s="69" t="s">
        <v>51</v>
      </c>
      <c r="D13" s="69">
        <v>10</v>
      </c>
      <c r="E13" s="71">
        <v>250</v>
      </c>
      <c r="F13" s="64"/>
      <c r="G13" s="64"/>
      <c r="H13" s="64"/>
      <c r="I13" s="64"/>
    </row>
    <row r="14" spans="1:9" x14ac:dyDescent="0.25">
      <c r="A14" s="66">
        <v>45536</v>
      </c>
      <c r="B14" s="67" t="s">
        <v>127</v>
      </c>
      <c r="C14" s="67" t="s">
        <v>52</v>
      </c>
      <c r="D14" s="67">
        <v>5</v>
      </c>
      <c r="E14" s="68">
        <v>150</v>
      </c>
      <c r="F14" s="64"/>
      <c r="G14" s="64"/>
      <c r="H14" s="64"/>
      <c r="I14" s="64"/>
    </row>
    <row r="15" spans="1:9" x14ac:dyDescent="0.25">
      <c r="A15" s="66">
        <v>45537</v>
      </c>
      <c r="B15" s="67" t="s">
        <v>126</v>
      </c>
      <c r="C15" s="67" t="s">
        <v>150</v>
      </c>
      <c r="D15" s="67">
        <v>7</v>
      </c>
      <c r="E15" s="68">
        <v>140</v>
      </c>
      <c r="F15" s="64"/>
      <c r="G15" s="64"/>
      <c r="H15" s="64"/>
      <c r="I15" s="64"/>
    </row>
    <row r="16" spans="1:9" x14ac:dyDescent="0.25">
      <c r="A16" s="66">
        <v>45537</v>
      </c>
      <c r="B16" s="67" t="s">
        <v>128</v>
      </c>
      <c r="C16" s="67" t="s">
        <v>51</v>
      </c>
      <c r="D16" s="67">
        <v>15</v>
      </c>
      <c r="E16" s="68">
        <v>300</v>
      </c>
      <c r="F16" s="64"/>
      <c r="G16" s="64"/>
      <c r="H16" s="64"/>
      <c r="I16" s="64"/>
    </row>
    <row r="17" spans="1:9" x14ac:dyDescent="0.25">
      <c r="A17" s="66">
        <v>45538</v>
      </c>
      <c r="B17" s="67" t="s">
        <v>127</v>
      </c>
      <c r="C17" s="67" t="s">
        <v>150</v>
      </c>
      <c r="D17" s="67">
        <v>8</v>
      </c>
      <c r="E17" s="68">
        <v>240</v>
      </c>
      <c r="F17" s="64"/>
      <c r="G17" s="64"/>
      <c r="H17" s="64"/>
      <c r="I17" s="64"/>
    </row>
    <row r="18" spans="1:9" x14ac:dyDescent="0.25">
      <c r="A18" s="66">
        <v>45538</v>
      </c>
      <c r="B18" s="67" t="s">
        <v>126</v>
      </c>
      <c r="C18" s="67" t="s">
        <v>52</v>
      </c>
      <c r="D18" s="67">
        <v>12</v>
      </c>
      <c r="E18" s="68">
        <v>240</v>
      </c>
    </row>
    <row r="19" spans="1:9" x14ac:dyDescent="0.25">
      <c r="A19" s="66">
        <v>45539</v>
      </c>
      <c r="B19" s="67" t="s">
        <v>128</v>
      </c>
      <c r="C19" s="67" t="s">
        <v>51</v>
      </c>
      <c r="D19" s="67">
        <v>6</v>
      </c>
      <c r="E19" s="68">
        <v>120</v>
      </c>
    </row>
    <row r="20" spans="1:9" x14ac:dyDescent="0.25">
      <c r="A20" s="66">
        <v>45539</v>
      </c>
      <c r="B20" s="67" t="s">
        <v>127</v>
      </c>
      <c r="C20" s="67" t="s">
        <v>52</v>
      </c>
      <c r="D20" s="67">
        <v>10</v>
      </c>
      <c r="E20" s="68">
        <v>300</v>
      </c>
    </row>
    <row r="21" spans="1:9" x14ac:dyDescent="0.25">
      <c r="A21" s="66">
        <v>45540</v>
      </c>
      <c r="B21" s="67" t="s">
        <v>126</v>
      </c>
      <c r="C21" s="67" t="s">
        <v>150</v>
      </c>
      <c r="D21" s="67">
        <v>8</v>
      </c>
      <c r="E21" s="68">
        <v>160</v>
      </c>
    </row>
    <row r="22" spans="1:9" x14ac:dyDescent="0.25">
      <c r="A22" s="66">
        <v>45540</v>
      </c>
      <c r="B22" s="67" t="s">
        <v>128</v>
      </c>
      <c r="C22" s="67" t="s">
        <v>52</v>
      </c>
      <c r="D22" s="67">
        <v>5</v>
      </c>
      <c r="E22" s="68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9" sqref="D9"/>
    </sheetView>
  </sheetViews>
  <sheetFormatPr defaultRowHeight="15" x14ac:dyDescent="0.25"/>
  <cols>
    <col min="1" max="1" width="81.42578125" customWidth="1"/>
    <col min="3" max="4" width="13.5703125" bestFit="1" customWidth="1"/>
    <col min="6" max="6" width="55.7109375" customWidth="1"/>
  </cols>
  <sheetData>
    <row r="1" spans="1:6" x14ac:dyDescent="0.25">
      <c r="A1" s="94" t="s">
        <v>172</v>
      </c>
      <c r="C1" s="1">
        <f ca="1">TODAY()</f>
        <v>45929</v>
      </c>
    </row>
    <row r="2" spans="1:6" x14ac:dyDescent="0.25">
      <c r="A2" t="s">
        <v>165</v>
      </c>
      <c r="C2" s="1">
        <f>DATE(2025,9,20)</f>
        <v>45920</v>
      </c>
      <c r="D2" s="1">
        <f>DATE(2026,10,22)</f>
        <v>46317</v>
      </c>
    </row>
    <row r="3" spans="1:6" x14ac:dyDescent="0.25">
      <c r="A3" s="94" t="s">
        <v>171</v>
      </c>
      <c r="C3">
        <f>DAY(C2)</f>
        <v>20</v>
      </c>
      <c r="D3">
        <f>DAY(D2)</f>
        <v>22</v>
      </c>
    </row>
    <row r="4" spans="1:6" x14ac:dyDescent="0.25">
      <c r="A4" t="s">
        <v>166</v>
      </c>
      <c r="C4">
        <f>MONTH(C2)</f>
        <v>9</v>
      </c>
      <c r="D4">
        <f>MONTH(D2)</f>
        <v>10</v>
      </c>
    </row>
    <row r="5" spans="1:6" x14ac:dyDescent="0.25">
      <c r="A5" s="94" t="s">
        <v>170</v>
      </c>
      <c r="C5">
        <f>YEAR(C2)</f>
        <v>2025</v>
      </c>
      <c r="D5">
        <f>YEAR(D2)</f>
        <v>2026</v>
      </c>
    </row>
    <row r="6" spans="1:6" x14ac:dyDescent="0.25">
      <c r="A6" t="s">
        <v>167</v>
      </c>
      <c r="C6">
        <f>WEEKDAY(C2)</f>
        <v>7</v>
      </c>
      <c r="D6">
        <f>WEEKDAY(D2)</f>
        <v>5</v>
      </c>
      <c r="F6" t="s">
        <v>173</v>
      </c>
    </row>
    <row r="7" spans="1:6" x14ac:dyDescent="0.25">
      <c r="A7" s="94" t="s">
        <v>169</v>
      </c>
      <c r="C7">
        <f ca="1">DAYS360(C2,C1)</f>
        <v>9</v>
      </c>
      <c r="D7">
        <f>DAYS360(C2,D2)</f>
        <v>392</v>
      </c>
    </row>
    <row r="8" spans="1:6" x14ac:dyDescent="0.25">
      <c r="A8" s="94" t="s">
        <v>168</v>
      </c>
      <c r="C8" s="95">
        <f ca="1">NOW()</f>
        <v>45929.86008460648</v>
      </c>
      <c r="D8" s="95">
        <f ca="1">NOW()</f>
        <v>45929.86008460648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85" zoomScaleNormal="85" workbookViewId="0">
      <selection activeCell="E14" sqref="E14"/>
    </sheetView>
  </sheetViews>
  <sheetFormatPr defaultRowHeight="15" x14ac:dyDescent="0.25"/>
  <cols>
    <col min="1" max="1" width="10.28515625" customWidth="1"/>
    <col min="2" max="2" width="48.28515625" customWidth="1"/>
    <col min="3" max="3" width="10" customWidth="1"/>
    <col min="4" max="4" width="9.140625" customWidth="1"/>
    <col min="5" max="5" width="48.42578125" customWidth="1"/>
    <col min="6" max="6" width="49.28515625" customWidth="1"/>
    <col min="7" max="7" width="18.42578125" customWidth="1"/>
    <col min="8" max="8" width="15.42578125" customWidth="1"/>
    <col min="9" max="9" width="9.140625" customWidth="1"/>
  </cols>
  <sheetData>
    <row r="1" spans="1:9" x14ac:dyDescent="0.25">
      <c r="A1" s="86" t="s">
        <v>146</v>
      </c>
      <c r="B1" s="76"/>
      <c r="C1" s="76"/>
      <c r="D1" s="76"/>
      <c r="E1" s="76"/>
      <c r="G1" s="77"/>
      <c r="H1" s="77"/>
      <c r="I1" s="60"/>
    </row>
    <row r="2" spans="1:9" ht="17.25" customHeight="1" x14ac:dyDescent="0.25">
      <c r="A2" s="83" t="s">
        <v>138</v>
      </c>
      <c r="B2" s="84" t="s">
        <v>47</v>
      </c>
      <c r="C2" s="84" t="s">
        <v>131</v>
      </c>
      <c r="D2" s="84" t="s">
        <v>132</v>
      </c>
      <c r="E2" s="79" t="s">
        <v>158</v>
      </c>
      <c r="F2" s="77" t="s">
        <v>159</v>
      </c>
      <c r="G2" s="88" t="s">
        <v>160</v>
      </c>
      <c r="H2" s="88" t="s">
        <v>161</v>
      </c>
    </row>
    <row r="3" spans="1:9" ht="17.25" customHeight="1" x14ac:dyDescent="0.25">
      <c r="A3" s="80" t="s">
        <v>139</v>
      </c>
      <c r="B3" s="81" t="s">
        <v>51</v>
      </c>
      <c r="C3" s="81">
        <v>14</v>
      </c>
      <c r="D3" s="81">
        <v>8</v>
      </c>
      <c r="E3" s="79" t="str">
        <f>VLOOKUP(A3,A11:$B$17,2,0)</f>
        <v>Introduction to Data Science And Machine Learning</v>
      </c>
      <c r="F3" s="77" t="str">
        <f>VLOOKUP(A3,$A$11:$B$17,2,FALSE)</f>
        <v>Introduction to Data Science And Machine Learning</v>
      </c>
      <c r="G3" s="77" t="str">
        <f>VLOOKUP(A3,A11:$B$17,1,FALSE)</f>
        <v>S001</v>
      </c>
      <c r="H3" s="77" t="e">
        <f>VLOOKUP(A3,$B$11:$C$17,1,0)</f>
        <v>#N/A</v>
      </c>
      <c r="I3" s="60"/>
    </row>
    <row r="4" spans="1:9" ht="15" customHeight="1" x14ac:dyDescent="0.25">
      <c r="A4" s="80" t="s">
        <v>140</v>
      </c>
      <c r="B4" s="81" t="s">
        <v>52</v>
      </c>
      <c r="C4" s="81">
        <v>15</v>
      </c>
      <c r="D4" s="81">
        <v>7</v>
      </c>
      <c r="E4" s="79" t="str">
        <f>VLOOKUP(A4,A12:$B$17,2,0)</f>
        <v>Full-Stack Web development bootcamp</v>
      </c>
      <c r="F4" s="77"/>
      <c r="G4" s="77" t="str">
        <f>VLOOKUP(A4,A12:$B$17,1,FALSE)</f>
        <v>S002</v>
      </c>
      <c r="H4" s="77" t="e">
        <f t="shared" ref="H4:H7" si="0">VLOOKUP(A4,$B$11:$C$17,1,0)</f>
        <v>#N/A</v>
      </c>
      <c r="I4" s="60"/>
    </row>
    <row r="5" spans="1:9" ht="16.5" customHeight="1" x14ac:dyDescent="0.25">
      <c r="A5" s="80" t="s">
        <v>142</v>
      </c>
      <c r="B5" s="82" t="s">
        <v>134</v>
      </c>
      <c r="C5" s="81">
        <v>14</v>
      </c>
      <c r="D5" s="81">
        <v>8</v>
      </c>
      <c r="E5" s="79" t="str">
        <f>VLOOKUP(A5,A13:$B$17,2,0)</f>
        <v>Cybersecurity Essentials: Protecting Digital Assets</v>
      </c>
      <c r="F5" s="60"/>
      <c r="G5" s="77" t="str">
        <f>VLOOKUP(A5,A13:$B$17,1,FALSE)</f>
        <v>S003</v>
      </c>
      <c r="H5" s="77" t="e">
        <f t="shared" si="0"/>
        <v>#N/A</v>
      </c>
      <c r="I5" s="60"/>
    </row>
    <row r="6" spans="1:9" ht="15" customHeight="1" x14ac:dyDescent="0.25">
      <c r="A6" s="80" t="s">
        <v>144</v>
      </c>
      <c r="B6" s="82" t="s">
        <v>135</v>
      </c>
      <c r="C6" s="81">
        <v>18</v>
      </c>
      <c r="D6" s="81">
        <v>9</v>
      </c>
      <c r="E6" s="79" t="str">
        <f>VLOOKUP(A6,A14:$B$17,2,0)</f>
        <v>Advanced Excel and Data Analysis</v>
      </c>
      <c r="F6" s="60"/>
      <c r="G6" s="77" t="str">
        <f>VLOOKUP(A6,A14:$B$17,1,FALSE)</f>
        <v>S004</v>
      </c>
      <c r="H6" s="77" t="e">
        <f t="shared" si="0"/>
        <v>#N/A</v>
      </c>
      <c r="I6" s="60"/>
    </row>
    <row r="7" spans="1:9" ht="15" customHeight="1" x14ac:dyDescent="0.25">
      <c r="A7" s="80" t="s">
        <v>145</v>
      </c>
      <c r="B7" s="82" t="s">
        <v>136</v>
      </c>
      <c r="C7" s="81">
        <v>14</v>
      </c>
      <c r="D7" s="81">
        <v>8</v>
      </c>
      <c r="E7" s="79" t="str">
        <f>VLOOKUP(A7,A15:$B$17,2,0)</f>
        <v>Cloud Computing With AWS and Azure</v>
      </c>
      <c r="F7" s="60"/>
      <c r="G7" s="77" t="str">
        <f>VLOOKUP(A7,A15:$B$17,1,FALSE)</f>
        <v>S005</v>
      </c>
      <c r="H7" s="77" t="e">
        <f t="shared" si="0"/>
        <v>#N/A</v>
      </c>
      <c r="I7" s="60"/>
    </row>
    <row r="8" spans="1:9" x14ac:dyDescent="0.25">
      <c r="A8" s="61"/>
      <c r="B8" s="62"/>
      <c r="C8" s="62"/>
      <c r="D8" s="62"/>
      <c r="E8" s="63"/>
      <c r="F8" s="60"/>
      <c r="G8" s="60"/>
      <c r="H8" s="60"/>
      <c r="I8" s="60"/>
    </row>
    <row r="9" spans="1:9" x14ac:dyDescent="0.25">
      <c r="A9" s="61"/>
      <c r="B9" s="62"/>
      <c r="C9" s="62"/>
      <c r="D9" s="62"/>
      <c r="E9" s="63"/>
      <c r="F9" s="60"/>
      <c r="G9" s="60"/>
      <c r="H9" s="60"/>
      <c r="I9" s="60"/>
    </row>
    <row r="10" spans="1:9" x14ac:dyDescent="0.25">
      <c r="A10" s="87" t="s">
        <v>147</v>
      </c>
      <c r="B10" s="62"/>
      <c r="C10" s="62"/>
      <c r="D10" s="62"/>
      <c r="E10" s="63"/>
      <c r="F10" s="60"/>
      <c r="G10" s="60"/>
      <c r="H10" s="60"/>
      <c r="I10" s="60"/>
    </row>
    <row r="11" spans="1:9" ht="30" x14ac:dyDescent="0.25">
      <c r="A11" s="83" t="s">
        <v>138</v>
      </c>
      <c r="B11" s="84" t="s">
        <v>137</v>
      </c>
      <c r="C11" s="83" t="s">
        <v>138</v>
      </c>
      <c r="D11" s="78"/>
      <c r="E11" s="79"/>
      <c r="F11" s="60"/>
      <c r="G11" s="60"/>
      <c r="H11" s="60"/>
      <c r="I11" s="60"/>
    </row>
    <row r="12" spans="1:9" ht="24" customHeight="1" x14ac:dyDescent="0.25">
      <c r="A12" s="80" t="s">
        <v>139</v>
      </c>
      <c r="B12" s="81" t="s">
        <v>155</v>
      </c>
      <c r="C12" s="80" t="s">
        <v>139</v>
      </c>
      <c r="D12" s="78"/>
      <c r="E12" s="79"/>
      <c r="F12" s="60"/>
      <c r="G12" s="60"/>
      <c r="H12" s="60"/>
      <c r="I12" s="60"/>
    </row>
    <row r="13" spans="1:9" x14ac:dyDescent="0.25">
      <c r="A13" s="80" t="s">
        <v>140</v>
      </c>
      <c r="B13" s="82" t="s">
        <v>156</v>
      </c>
      <c r="C13" s="80" t="s">
        <v>140</v>
      </c>
      <c r="D13" s="62"/>
      <c r="E13" s="63"/>
      <c r="F13" s="60"/>
      <c r="G13" s="60"/>
      <c r="H13" s="60"/>
      <c r="I13" s="60"/>
    </row>
    <row r="14" spans="1:9" ht="30" x14ac:dyDescent="0.25">
      <c r="A14" s="80" t="s">
        <v>142</v>
      </c>
      <c r="B14" s="82" t="s">
        <v>141</v>
      </c>
      <c r="C14" s="80" t="s">
        <v>142</v>
      </c>
      <c r="D14" s="62"/>
      <c r="E14" s="63"/>
      <c r="F14" s="60"/>
      <c r="G14" s="60"/>
      <c r="H14" s="60"/>
      <c r="I14" s="60"/>
    </row>
    <row r="15" spans="1:9" x14ac:dyDescent="0.25">
      <c r="A15" s="80" t="s">
        <v>144</v>
      </c>
      <c r="B15" s="82" t="s">
        <v>143</v>
      </c>
      <c r="C15" s="80" t="s">
        <v>144</v>
      </c>
      <c r="D15" s="62"/>
      <c r="E15" s="63"/>
      <c r="F15" s="60"/>
      <c r="G15" s="60"/>
      <c r="H15" s="60"/>
      <c r="I15" s="60"/>
    </row>
    <row r="16" spans="1:9" x14ac:dyDescent="0.25">
      <c r="A16" s="80" t="s">
        <v>145</v>
      </c>
      <c r="B16" s="82" t="s">
        <v>157</v>
      </c>
      <c r="C16" s="80" t="s">
        <v>145</v>
      </c>
      <c r="D16" s="62"/>
      <c r="E16" s="63"/>
      <c r="F16" s="60"/>
      <c r="G16" s="60"/>
      <c r="H16" s="60"/>
      <c r="I16" s="60"/>
    </row>
    <row r="17" spans="1:5" x14ac:dyDescent="0.25">
      <c r="A17" s="85"/>
      <c r="B17" s="82"/>
      <c r="C17" s="85"/>
      <c r="D17" s="62"/>
      <c r="E17" s="63"/>
    </row>
    <row r="18" spans="1:5" x14ac:dyDescent="0.25">
      <c r="A18" s="61"/>
      <c r="B18" s="62"/>
      <c r="C18" s="62"/>
      <c r="D18" s="62"/>
      <c r="E18" s="63"/>
    </row>
    <row r="19" spans="1:5" x14ac:dyDescent="0.25">
      <c r="A19" s="61"/>
      <c r="B19" s="62"/>
      <c r="C19" s="62"/>
      <c r="D19" s="62"/>
      <c r="E19" s="63"/>
    </row>
    <row r="20" spans="1:5" x14ac:dyDescent="0.25">
      <c r="A20" s="90"/>
      <c r="B20" s="92"/>
      <c r="C20" s="92"/>
      <c r="D20" s="89"/>
      <c r="E20" s="63"/>
    </row>
    <row r="21" spans="1:5" x14ac:dyDescent="0.25">
      <c r="A21" s="90"/>
      <c r="B21" s="88"/>
      <c r="C21" s="90"/>
      <c r="D21" s="89"/>
      <c r="E21" s="63"/>
    </row>
    <row r="22" spans="1:5" x14ac:dyDescent="0.25">
      <c r="A22" s="91"/>
      <c r="B22" s="92"/>
      <c r="C22" s="91"/>
      <c r="D22" s="3"/>
    </row>
    <row r="23" spans="1:5" x14ac:dyDescent="0.25">
      <c r="A23" s="91"/>
      <c r="B23" s="92"/>
      <c r="C23" s="91"/>
      <c r="D23" s="3"/>
    </row>
    <row r="24" spans="1:5" x14ac:dyDescent="0.25">
      <c r="A24" s="91"/>
      <c r="B24" s="92"/>
      <c r="C24" s="91"/>
      <c r="D24" s="3"/>
    </row>
    <row r="25" spans="1:5" x14ac:dyDescent="0.25">
      <c r="A25" s="91"/>
      <c r="B25" s="92"/>
      <c r="C25" s="91"/>
      <c r="D25" s="3"/>
    </row>
    <row r="26" spans="1:5" x14ac:dyDescent="0.25">
      <c r="A26" s="91"/>
      <c r="B26" s="92"/>
      <c r="C26" s="91"/>
      <c r="D26" s="3"/>
    </row>
    <row r="27" spans="1:5" x14ac:dyDescent="0.25">
      <c r="A27" s="91"/>
      <c r="B27" s="92"/>
      <c r="C27" s="91"/>
      <c r="D27" s="3"/>
    </row>
    <row r="28" spans="1:5" x14ac:dyDescent="0.25">
      <c r="A28" s="77"/>
      <c r="B28" s="77"/>
      <c r="C28" s="7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="70" zoomScaleNormal="70" workbookViewId="0">
      <selection activeCell="I18" sqref="I18"/>
    </sheetView>
  </sheetViews>
  <sheetFormatPr defaultRowHeight="15" x14ac:dyDescent="0.25"/>
  <cols>
    <col min="1" max="1" width="8" bestFit="1" customWidth="1"/>
    <col min="2" max="2" width="49.140625" customWidth="1"/>
    <col min="3" max="3" width="11.42578125" customWidth="1"/>
    <col min="4" max="4" width="6.42578125" bestFit="1" customWidth="1"/>
    <col min="5" max="5" width="31.85546875" customWidth="1"/>
    <col min="6" max="6" width="8.5703125" bestFit="1" customWidth="1"/>
    <col min="7" max="7" width="15.28515625" customWidth="1"/>
    <col min="8" max="8" width="46.42578125" customWidth="1"/>
    <col min="9" max="9" width="55.5703125" customWidth="1"/>
  </cols>
  <sheetData>
    <row r="1" spans="1:9" x14ac:dyDescent="0.25">
      <c r="A1" s="86" t="s">
        <v>146</v>
      </c>
      <c r="B1" s="76"/>
      <c r="C1" s="76"/>
      <c r="D1" s="76"/>
      <c r="E1" s="76"/>
      <c r="F1" s="72"/>
      <c r="G1" s="77"/>
      <c r="H1" s="77"/>
      <c r="I1" s="72"/>
    </row>
    <row r="2" spans="1:9" ht="30" x14ac:dyDescent="0.25">
      <c r="A2" s="83" t="s">
        <v>138</v>
      </c>
      <c r="B2" s="84" t="s">
        <v>47</v>
      </c>
      <c r="C2" s="84" t="s">
        <v>131</v>
      </c>
      <c r="D2" s="84" t="s">
        <v>132</v>
      </c>
      <c r="E2" s="79" t="s">
        <v>133</v>
      </c>
      <c r="F2" s="93" t="s">
        <v>133</v>
      </c>
      <c r="G2" s="88" t="s">
        <v>133</v>
      </c>
      <c r="H2" s="88" t="s">
        <v>162</v>
      </c>
      <c r="I2" s="88" t="s">
        <v>164</v>
      </c>
    </row>
    <row r="3" spans="1:9" x14ac:dyDescent="0.25">
      <c r="A3" s="80" t="s">
        <v>139</v>
      </c>
      <c r="B3" s="81" t="s">
        <v>51</v>
      </c>
      <c r="C3" s="81">
        <v>14</v>
      </c>
      <c r="D3" s="81">
        <v>8</v>
      </c>
      <c r="E3" s="79" t="e">
        <f>VLOOKUP(A3,B11:$C$16,1,0)</f>
        <v>#N/A</v>
      </c>
      <c r="F3" s="77" t="str">
        <f>VLOOKUP(A3,C11:$C$16,1,0)</f>
        <v>S001</v>
      </c>
      <c r="G3" s="77" t="e">
        <f>VLOOKUP(A3,C11:$C$16,-1,0)</f>
        <v>#VALUE!</v>
      </c>
      <c r="H3" s="77" t="e">
        <f ca="1">Xlookup(A3,C11:$C$16,B11:$B$16, ,0)</f>
        <v>#NAME?</v>
      </c>
      <c r="I3" s="72" t="s">
        <v>155</v>
      </c>
    </row>
    <row r="4" spans="1:9" x14ac:dyDescent="0.25">
      <c r="A4" s="80" t="s">
        <v>140</v>
      </c>
      <c r="B4" s="81" t="s">
        <v>52</v>
      </c>
      <c r="C4" s="81">
        <v>15</v>
      </c>
      <c r="D4" s="81">
        <v>7</v>
      </c>
      <c r="E4" s="79" t="e">
        <f>VLOOKUP(A4,B12:$C$16,1,0)</f>
        <v>#N/A</v>
      </c>
      <c r="F4" s="77" t="str">
        <f>VLOOKUP(A4,C12:$C$16,1,0)</f>
        <v>S002</v>
      </c>
      <c r="G4" s="77" t="e">
        <f>VLOOKUP(A4,C12:$C$16,-1,0)</f>
        <v>#VALUE!</v>
      </c>
      <c r="H4" s="77" t="e">
        <f ca="1">Xlookup(A4,C12:$C$16,B12:$B$16, ,0)</f>
        <v>#NAME?</v>
      </c>
      <c r="I4" s="72" t="s">
        <v>156</v>
      </c>
    </row>
    <row r="5" spans="1:9" x14ac:dyDescent="0.25">
      <c r="A5" s="80" t="s">
        <v>142</v>
      </c>
      <c r="B5" s="82" t="s">
        <v>134</v>
      </c>
      <c r="C5" s="81">
        <v>14</v>
      </c>
      <c r="D5" s="81">
        <v>8</v>
      </c>
      <c r="E5" s="79" t="e">
        <f>VLOOKUP(A5,B13:$C$16,1,0)</f>
        <v>#N/A</v>
      </c>
      <c r="F5" s="77" t="str">
        <f>VLOOKUP(A5,C13:$C$16,1,0)</f>
        <v>S003</v>
      </c>
      <c r="G5" s="77" t="e">
        <f>VLOOKUP(A5,C13:$C$16,-1,0)</f>
        <v>#VALUE!</v>
      </c>
      <c r="H5" s="77" t="e">
        <f ca="1">Xlookup(A5,C13:$C$16,B13:$B$16, ,0)</f>
        <v>#NAME?</v>
      </c>
      <c r="I5" s="72" t="s">
        <v>141</v>
      </c>
    </row>
    <row r="6" spans="1:9" x14ac:dyDescent="0.25">
      <c r="A6" s="80" t="s">
        <v>144</v>
      </c>
      <c r="B6" s="82" t="s">
        <v>135</v>
      </c>
      <c r="C6" s="81">
        <v>18</v>
      </c>
      <c r="D6" s="81">
        <v>9</v>
      </c>
      <c r="E6" s="79" t="e">
        <f>VLOOKUP(A6,B14:$C$16,1,0)</f>
        <v>#N/A</v>
      </c>
      <c r="F6" s="77" t="str">
        <f>VLOOKUP(A6,C14:$C$16,1,0)</f>
        <v>S004</v>
      </c>
      <c r="G6" s="77" t="e">
        <f>VLOOKUP(A6,C14:$C$16,-1,0)</f>
        <v>#VALUE!</v>
      </c>
      <c r="H6" s="77" t="e">
        <f ca="1">Xlookup(A6,C14:$C$16,B14:$B$16, ,0)</f>
        <v>#NAME?</v>
      </c>
      <c r="I6" s="72" t="s">
        <v>143</v>
      </c>
    </row>
    <row r="7" spans="1:9" x14ac:dyDescent="0.25">
      <c r="A7" s="80" t="s">
        <v>145</v>
      </c>
      <c r="B7" s="82" t="s">
        <v>136</v>
      </c>
      <c r="C7" s="81">
        <v>14</v>
      </c>
      <c r="D7" s="81">
        <v>8</v>
      </c>
      <c r="E7" s="79" t="e">
        <f>VLOOKUP(A7,B15:$C$16,1,0)</f>
        <v>#N/A</v>
      </c>
      <c r="F7" s="77" t="str">
        <f>VLOOKUP(A7,C15:$C$16,1,0)</f>
        <v>S005</v>
      </c>
      <c r="G7" s="77" t="e">
        <f>VLOOKUP(A7,C15:$C$16,-1,0)</f>
        <v>#VALUE!</v>
      </c>
      <c r="H7" s="77" t="e">
        <f ca="1">Xlookup(A7,C15:$C$16,B15:$B$16, ,0)</f>
        <v>#NAME?</v>
      </c>
      <c r="I7" s="72" t="s">
        <v>157</v>
      </c>
    </row>
    <row r="8" spans="1:9" x14ac:dyDescent="0.25">
      <c r="A8" s="73"/>
      <c r="B8" s="74"/>
      <c r="C8" s="74"/>
      <c r="D8" s="74"/>
      <c r="E8" s="75"/>
      <c r="F8" s="72"/>
      <c r="G8" s="72"/>
      <c r="H8" s="72"/>
      <c r="I8" s="72"/>
    </row>
    <row r="9" spans="1:9" x14ac:dyDescent="0.25">
      <c r="A9" s="73"/>
      <c r="B9" s="74"/>
      <c r="C9" s="74"/>
      <c r="D9" s="74"/>
      <c r="E9" s="75"/>
      <c r="F9" s="72"/>
      <c r="G9" s="72"/>
      <c r="H9" s="72" t="s">
        <v>163</v>
      </c>
      <c r="I9" s="72"/>
    </row>
    <row r="10" spans="1:9" x14ac:dyDescent="0.25">
      <c r="A10" s="87" t="s">
        <v>147</v>
      </c>
      <c r="B10" s="74"/>
      <c r="C10" s="74"/>
      <c r="D10" s="74"/>
      <c r="E10" s="75"/>
      <c r="F10" s="72"/>
      <c r="G10" s="72"/>
      <c r="H10" s="72"/>
      <c r="I10" s="72"/>
    </row>
    <row r="11" spans="1:9" ht="30" x14ac:dyDescent="0.25">
      <c r="A11" s="83" t="s">
        <v>138</v>
      </c>
      <c r="B11" s="84" t="s">
        <v>137</v>
      </c>
      <c r="C11" s="83" t="s">
        <v>138</v>
      </c>
      <c r="D11" s="78"/>
      <c r="E11" s="79"/>
      <c r="F11" s="72"/>
      <c r="G11" s="72"/>
      <c r="I11" s="72"/>
    </row>
    <row r="12" spans="1:9" x14ac:dyDescent="0.25">
      <c r="A12" s="80" t="s">
        <v>139</v>
      </c>
      <c r="B12" s="81" t="s">
        <v>155</v>
      </c>
      <c r="C12" s="80" t="s">
        <v>139</v>
      </c>
      <c r="D12" s="78"/>
      <c r="E12" s="79"/>
      <c r="F12" s="72"/>
      <c r="G12" s="72"/>
      <c r="H12" s="72"/>
      <c r="I12" s="72"/>
    </row>
    <row r="13" spans="1:9" x14ac:dyDescent="0.25">
      <c r="A13" s="80" t="s">
        <v>140</v>
      </c>
      <c r="B13" s="82" t="s">
        <v>156</v>
      </c>
      <c r="C13" s="80" t="s">
        <v>140</v>
      </c>
      <c r="D13" s="74"/>
      <c r="E13" s="75"/>
      <c r="F13" s="72"/>
      <c r="G13" s="72"/>
      <c r="H13" s="72"/>
      <c r="I13" s="72"/>
    </row>
    <row r="14" spans="1:9" x14ac:dyDescent="0.25">
      <c r="A14" s="80" t="s">
        <v>142</v>
      </c>
      <c r="B14" s="82" t="s">
        <v>141</v>
      </c>
      <c r="C14" s="80" t="s">
        <v>142</v>
      </c>
      <c r="D14" s="74"/>
      <c r="E14" s="75"/>
      <c r="F14" s="72"/>
      <c r="G14" s="72"/>
      <c r="H14" s="72"/>
      <c r="I14" s="72"/>
    </row>
    <row r="15" spans="1:9" x14ac:dyDescent="0.25">
      <c r="A15" s="80" t="s">
        <v>144</v>
      </c>
      <c r="B15" s="82" t="s">
        <v>143</v>
      </c>
      <c r="C15" s="80" t="s">
        <v>144</v>
      </c>
      <c r="D15" s="74"/>
      <c r="E15" s="75"/>
      <c r="F15" s="72"/>
      <c r="G15" s="72"/>
      <c r="H15" s="72"/>
      <c r="I15" s="72"/>
    </row>
    <row r="16" spans="1:9" x14ac:dyDescent="0.25">
      <c r="A16" s="80" t="s">
        <v>145</v>
      </c>
      <c r="B16" s="82" t="s">
        <v>157</v>
      </c>
      <c r="C16" s="80" t="s">
        <v>145</v>
      </c>
      <c r="D16" s="74"/>
      <c r="E16" s="75"/>
      <c r="F16" s="72"/>
      <c r="G16" s="72"/>
      <c r="H16" s="72"/>
      <c r="I16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Font&amp;Alignment</vt:lpstr>
      <vt:lpstr>Wrap Text</vt:lpstr>
      <vt:lpstr>Home tab number group part 1</vt:lpstr>
      <vt:lpstr>Home tab number group part 2</vt:lpstr>
      <vt:lpstr>Home tab style Conditional Form</vt:lpstr>
      <vt:lpstr>Home tab style cell styles </vt:lpstr>
      <vt:lpstr> aggregate functions-1</vt:lpstr>
      <vt:lpstr>Data Convert into Readable Form</vt:lpstr>
      <vt:lpstr>Upper,lower,Sqrt,Powe,Mid fun-2</vt:lpstr>
      <vt:lpstr>Substi,Trim,left,righ,len,prope</vt:lpstr>
      <vt:lpstr>Concat,Countif,if,nested If</vt:lpstr>
      <vt:lpstr>Less,Greater&amp; Nested Func</vt:lpstr>
      <vt:lpstr>If Function </vt:lpstr>
      <vt:lpstr>IFs Fun</vt:lpstr>
      <vt:lpstr>Date,day,year,week,mon,days,Fun</vt:lpstr>
      <vt:lpstr>VLook UP Function</vt:lpstr>
      <vt:lpstr>XLook UP Function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admin</cp:lastModifiedBy>
  <dcterms:created xsi:type="dcterms:W3CDTF">2015-06-05T18:17:20Z</dcterms:created>
  <dcterms:modified xsi:type="dcterms:W3CDTF">2025-09-29T15:08:52Z</dcterms:modified>
</cp:coreProperties>
</file>